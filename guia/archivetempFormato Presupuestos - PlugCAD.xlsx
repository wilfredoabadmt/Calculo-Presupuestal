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i unidad\HOJAS DE CALCULO\04_presupuesto_de_obra\"/>
    </mc:Choice>
  </mc:AlternateContent>
  <xr:revisionPtr revIDLastSave="0" documentId="13_ncr:1_{8627EDE1-4E8E-43B4-8EFD-5644B3900A51}" xr6:coauthVersionLast="47" xr6:coauthVersionMax="47" xr10:uidLastSave="{00000000-0000-0000-0000-000000000000}"/>
  <bookViews>
    <workbookView xWindow="-108" yWindow="-108" windowWidth="23256" windowHeight="12456" xr2:uid="{2CDD0083-CAA9-460A-AD4D-C352275687F6}"/>
  </bookViews>
  <sheets>
    <sheet name="Presupuesto" sheetId="1" r:id="rId1"/>
    <sheet name="PlugCA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6" i="1" l="1"/>
  <c r="G344" i="1"/>
  <c r="G332" i="1"/>
  <c r="G320" i="1"/>
  <c r="G306" i="1"/>
  <c r="G294" i="1"/>
  <c r="G282" i="1"/>
  <c r="G269" i="1"/>
  <c r="G257" i="1"/>
  <c r="G241" i="1"/>
  <c r="G229" i="1"/>
  <c r="G217" i="1"/>
  <c r="G205" i="1"/>
  <c r="G190" i="1"/>
  <c r="G178" i="1"/>
  <c r="G166" i="1"/>
  <c r="G154" i="1"/>
  <c r="G142" i="1"/>
  <c r="G128" i="1"/>
  <c r="G114" i="1"/>
  <c r="G102" i="1"/>
  <c r="G91" i="1"/>
  <c r="G80" i="1"/>
  <c r="G71" i="1"/>
  <c r="G60" i="1"/>
  <c r="G50" i="1"/>
  <c r="G39" i="1"/>
  <c r="G31" i="1"/>
  <c r="G25" i="1"/>
  <c r="G14" i="1"/>
  <c r="G62" i="1" l="1"/>
  <c r="G63" i="1"/>
  <c r="G64" i="1"/>
  <c r="G65" i="1"/>
  <c r="G66" i="1"/>
  <c r="G67" i="1"/>
  <c r="G68" i="1"/>
  <c r="G69" i="1"/>
  <c r="G73" i="1"/>
  <c r="G74" i="1"/>
  <c r="G75" i="1"/>
  <c r="G76" i="1"/>
  <c r="G77" i="1"/>
  <c r="G78" i="1"/>
  <c r="G82" i="1"/>
  <c r="G83" i="1"/>
  <c r="G84" i="1"/>
  <c r="G85" i="1"/>
  <c r="G86" i="1"/>
  <c r="G87" i="1"/>
  <c r="G88" i="1"/>
  <c r="G89" i="1"/>
  <c r="G93" i="1"/>
  <c r="G94" i="1"/>
  <c r="G95" i="1"/>
  <c r="G96" i="1"/>
  <c r="G97" i="1"/>
  <c r="G98" i="1"/>
  <c r="G99" i="1"/>
  <c r="G100" i="1"/>
  <c r="G104" i="1"/>
  <c r="G105" i="1"/>
  <c r="G106" i="1"/>
  <c r="G107" i="1"/>
  <c r="G108" i="1"/>
  <c r="G109" i="1"/>
  <c r="G110" i="1"/>
  <c r="G111" i="1"/>
  <c r="G112" i="1"/>
  <c r="G116" i="1"/>
  <c r="G117" i="1"/>
  <c r="G118" i="1"/>
  <c r="G119" i="1"/>
  <c r="G120" i="1"/>
  <c r="G121" i="1"/>
  <c r="G122" i="1"/>
  <c r="G123" i="1"/>
  <c r="G124" i="1"/>
  <c r="G125" i="1"/>
  <c r="G126" i="1"/>
  <c r="G130" i="1"/>
  <c r="G131" i="1"/>
  <c r="G132" i="1"/>
  <c r="G133" i="1"/>
  <c r="G134" i="1"/>
  <c r="G135" i="1"/>
  <c r="G136" i="1"/>
  <c r="G137" i="1"/>
  <c r="G138" i="1"/>
  <c r="G139" i="1"/>
  <c r="G140" i="1"/>
  <c r="G144" i="1"/>
  <c r="G145" i="1"/>
  <c r="G146" i="1"/>
  <c r="G147" i="1"/>
  <c r="G148" i="1"/>
  <c r="G149" i="1"/>
  <c r="G150" i="1"/>
  <c r="G151" i="1"/>
  <c r="G152" i="1"/>
  <c r="G156" i="1"/>
  <c r="G157" i="1"/>
  <c r="G158" i="1"/>
  <c r="G159" i="1"/>
  <c r="G160" i="1"/>
  <c r="G161" i="1"/>
  <c r="G162" i="1"/>
  <c r="G163" i="1"/>
  <c r="G164" i="1"/>
  <c r="G168" i="1"/>
  <c r="G169" i="1"/>
  <c r="G170" i="1"/>
  <c r="G171" i="1"/>
  <c r="G172" i="1"/>
  <c r="G173" i="1"/>
  <c r="G174" i="1"/>
  <c r="G175" i="1"/>
  <c r="G176" i="1"/>
  <c r="G180" i="1"/>
  <c r="G181" i="1"/>
  <c r="G182" i="1"/>
  <c r="G183" i="1"/>
  <c r="G184" i="1"/>
  <c r="G185" i="1"/>
  <c r="G186" i="1"/>
  <c r="G187" i="1"/>
  <c r="G188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7" i="1"/>
  <c r="G208" i="1"/>
  <c r="G209" i="1"/>
  <c r="G210" i="1"/>
  <c r="G211" i="1"/>
  <c r="G212" i="1"/>
  <c r="G213" i="1"/>
  <c r="G214" i="1"/>
  <c r="G215" i="1"/>
  <c r="G219" i="1"/>
  <c r="G220" i="1"/>
  <c r="G221" i="1"/>
  <c r="G222" i="1"/>
  <c r="G223" i="1"/>
  <c r="G224" i="1"/>
  <c r="G225" i="1"/>
  <c r="G226" i="1"/>
  <c r="G227" i="1"/>
  <c r="G231" i="1"/>
  <c r="G232" i="1"/>
  <c r="G233" i="1"/>
  <c r="G234" i="1"/>
  <c r="G235" i="1"/>
  <c r="G236" i="1"/>
  <c r="G237" i="1"/>
  <c r="G238" i="1"/>
  <c r="G239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9" i="1"/>
  <c r="G260" i="1"/>
  <c r="G261" i="1"/>
  <c r="G262" i="1"/>
  <c r="G263" i="1"/>
  <c r="G264" i="1"/>
  <c r="G265" i="1"/>
  <c r="G266" i="1"/>
  <c r="G267" i="1"/>
  <c r="G271" i="1"/>
  <c r="G272" i="1"/>
  <c r="G273" i="1"/>
  <c r="G274" i="1"/>
  <c r="G275" i="1"/>
  <c r="G276" i="1"/>
  <c r="G277" i="1"/>
  <c r="G278" i="1"/>
  <c r="G279" i="1"/>
  <c r="G280" i="1"/>
  <c r="G284" i="1"/>
  <c r="G285" i="1"/>
  <c r="G286" i="1"/>
  <c r="G287" i="1"/>
  <c r="G288" i="1"/>
  <c r="G289" i="1"/>
  <c r="G290" i="1"/>
  <c r="G291" i="1"/>
  <c r="G292" i="1"/>
  <c r="G296" i="1"/>
  <c r="G297" i="1"/>
  <c r="G298" i="1"/>
  <c r="G299" i="1"/>
  <c r="G300" i="1"/>
  <c r="G301" i="1"/>
  <c r="G302" i="1"/>
  <c r="G303" i="1"/>
  <c r="G304" i="1"/>
  <c r="G308" i="1"/>
  <c r="G309" i="1"/>
  <c r="G310" i="1"/>
  <c r="G311" i="1"/>
  <c r="G312" i="1"/>
  <c r="G313" i="1"/>
  <c r="G314" i="1"/>
  <c r="G315" i="1"/>
  <c r="G316" i="1"/>
  <c r="G317" i="1"/>
  <c r="G318" i="1"/>
  <c r="G322" i="1"/>
  <c r="G323" i="1"/>
  <c r="G324" i="1"/>
  <c r="G325" i="1"/>
  <c r="G326" i="1"/>
  <c r="G327" i="1"/>
  <c r="G328" i="1"/>
  <c r="G329" i="1"/>
  <c r="G330" i="1"/>
  <c r="G334" i="1"/>
  <c r="G335" i="1"/>
  <c r="G336" i="1"/>
  <c r="G337" i="1"/>
  <c r="G338" i="1"/>
  <c r="G339" i="1"/>
  <c r="G340" i="1"/>
  <c r="G341" i="1"/>
  <c r="G342" i="1"/>
  <c r="G346" i="1"/>
  <c r="G347" i="1"/>
  <c r="G348" i="1"/>
  <c r="G349" i="1"/>
  <c r="G350" i="1"/>
  <c r="G351" i="1"/>
  <c r="G352" i="1"/>
  <c r="G353" i="1"/>
  <c r="G354" i="1"/>
  <c r="G358" i="1"/>
  <c r="G359" i="1"/>
  <c r="G360" i="1"/>
  <c r="G361" i="1"/>
  <c r="G362" i="1"/>
  <c r="G363" i="1"/>
  <c r="G364" i="1"/>
  <c r="G365" i="1"/>
  <c r="G366" i="1"/>
  <c r="G367" i="1"/>
  <c r="G368" i="1"/>
  <c r="G357" i="1"/>
  <c r="G345" i="1"/>
  <c r="G333" i="1"/>
  <c r="G321" i="1"/>
  <c r="G307" i="1"/>
  <c r="G295" i="1"/>
  <c r="G283" i="1"/>
  <c r="G270" i="1"/>
  <c r="G258" i="1"/>
  <c r="G242" i="1"/>
  <c r="G230" i="1"/>
  <c r="G218" i="1"/>
  <c r="G206" i="1"/>
  <c r="G191" i="1"/>
  <c r="G179" i="1"/>
  <c r="G167" i="1"/>
  <c r="G155" i="1"/>
  <c r="G143" i="1"/>
  <c r="G129" i="1"/>
  <c r="G115" i="1"/>
  <c r="G103" i="1"/>
  <c r="G92" i="1"/>
  <c r="G81" i="1"/>
  <c r="G72" i="1"/>
  <c r="G61" i="1"/>
  <c r="G52" i="1"/>
  <c r="G53" i="1"/>
  <c r="G54" i="1"/>
  <c r="G55" i="1"/>
  <c r="G56" i="1"/>
  <c r="G57" i="1"/>
  <c r="G58" i="1"/>
  <c r="G51" i="1"/>
  <c r="G41" i="1"/>
  <c r="G42" i="1"/>
  <c r="G43" i="1"/>
  <c r="G44" i="1"/>
  <c r="G45" i="1"/>
  <c r="G46" i="1"/>
  <c r="G47" i="1"/>
  <c r="G48" i="1"/>
  <c r="G40" i="1"/>
  <c r="G33" i="1"/>
  <c r="G34" i="1"/>
  <c r="G35" i="1"/>
  <c r="G36" i="1"/>
  <c r="G37" i="1"/>
  <c r="G32" i="1"/>
  <c r="G27" i="1"/>
  <c r="G28" i="1"/>
  <c r="G29" i="1"/>
  <c r="G26" i="1"/>
  <c r="G16" i="1"/>
  <c r="G17" i="1"/>
  <c r="G18" i="1"/>
  <c r="G19" i="1"/>
  <c r="G20" i="1"/>
  <c r="G21" i="1"/>
  <c r="G22" i="1"/>
  <c r="G23" i="1"/>
  <c r="G15" i="1"/>
</calcChain>
</file>

<file path=xl/sharedStrings.xml><?xml version="1.0" encoding="utf-8"?>
<sst xmlns="http://schemas.openxmlformats.org/spreadsheetml/2006/main" count="640" uniqueCount="348">
  <si>
    <t>N°</t>
  </si>
  <si>
    <t>DESCRIPCIÓN</t>
  </si>
  <si>
    <t>UDS.</t>
  </si>
  <si>
    <t>CANTIDAD</t>
  </si>
  <si>
    <t>PU</t>
  </si>
  <si>
    <t>TOTAL</t>
  </si>
  <si>
    <t>PRESUPUESTO</t>
  </si>
  <si>
    <t>CLIENTE</t>
  </si>
  <si>
    <t>EMPRESA</t>
  </si>
  <si>
    <r>
      <rPr>
        <b/>
        <sz val="11"/>
        <color theme="1"/>
        <rFont val="Arial Narrow"/>
        <family val="2"/>
      </rPr>
      <t>Nombre:</t>
    </r>
    <r>
      <rPr>
        <sz val="11"/>
        <color theme="1"/>
        <rFont val="Arial Narrow"/>
        <family val="2"/>
      </rPr>
      <t xml:space="preserve"> PlugCAD</t>
    </r>
  </si>
  <si>
    <r>
      <rPr>
        <b/>
        <sz val="11"/>
        <color theme="1"/>
        <rFont val="Arial Narrow"/>
        <family val="2"/>
      </rPr>
      <t xml:space="preserve">Dirección: </t>
    </r>
    <r>
      <rPr>
        <sz val="11"/>
        <color theme="1"/>
        <rFont val="Arial Narrow"/>
        <family val="2"/>
      </rPr>
      <t>SRL, La Unión</t>
    </r>
  </si>
  <si>
    <r>
      <rPr>
        <b/>
        <sz val="11"/>
        <color theme="1"/>
        <rFont val="Arial Narrow"/>
        <family val="2"/>
      </rPr>
      <t>Teléfono:</t>
    </r>
    <r>
      <rPr>
        <sz val="11"/>
        <color theme="1"/>
        <rFont val="Arial Narrow"/>
        <family val="2"/>
      </rPr>
      <t xml:space="preserve"> 0000 - 0000</t>
    </r>
  </si>
  <si>
    <r>
      <rPr>
        <b/>
        <sz val="11"/>
        <color theme="1"/>
        <rFont val="Arial Narrow"/>
        <family val="2"/>
      </rPr>
      <t xml:space="preserve">Proyecto: </t>
    </r>
    <r>
      <rPr>
        <sz val="11"/>
        <color theme="1"/>
        <rFont val="Arial Narrow"/>
        <family val="2"/>
      </rPr>
      <t>PlugCAD</t>
    </r>
  </si>
  <si>
    <r>
      <rPr>
        <b/>
        <sz val="11"/>
        <color theme="1"/>
        <rFont val="Arial Narrow"/>
        <family val="2"/>
      </rPr>
      <t>Fecha Presupuesto:</t>
    </r>
    <r>
      <rPr>
        <sz val="11"/>
        <color theme="1"/>
        <rFont val="Arial Narrow"/>
        <family val="2"/>
      </rPr>
      <t xml:space="preserve"> 00/00/00</t>
    </r>
  </si>
  <si>
    <r>
      <rPr>
        <b/>
        <sz val="11"/>
        <color theme="1"/>
        <rFont val="Arial Narrow"/>
        <family val="2"/>
      </rPr>
      <t>Dirección:</t>
    </r>
    <r>
      <rPr>
        <sz val="11"/>
        <color theme="1"/>
        <rFont val="Arial Narrow"/>
        <family val="2"/>
      </rPr>
      <t xml:space="preserve"> SRL, La Unión</t>
    </r>
  </si>
  <si>
    <r>
      <rPr>
        <b/>
        <sz val="11"/>
        <color theme="1"/>
        <rFont val="Arial Narrow"/>
        <family val="2"/>
      </rPr>
      <t xml:space="preserve">Teléfono: </t>
    </r>
    <r>
      <rPr>
        <sz val="11"/>
        <color theme="1"/>
        <rFont val="Arial Narrow"/>
        <family val="2"/>
      </rPr>
      <t>0000 - 0000</t>
    </r>
  </si>
  <si>
    <r>
      <rPr>
        <b/>
        <sz val="11"/>
        <color theme="1"/>
        <rFont val="Arial Narrow"/>
        <family val="2"/>
      </rPr>
      <t>Validez:</t>
    </r>
    <r>
      <rPr>
        <sz val="11"/>
        <color theme="1"/>
        <rFont val="Arial Narrow"/>
        <family val="2"/>
      </rPr>
      <t xml:space="preserve"> 00/00/00</t>
    </r>
  </si>
  <si>
    <t>Tareas Preliminares</t>
  </si>
  <si>
    <t>Acareo de materiales de descapote: Movimiento de materiales removidos durante el descapote hacia zonas de acopio o disposición final, considerando un volumen de 15 m³ y una distancia de transporte de 10 km.</t>
  </si>
  <si>
    <t>Servicio de seguridad e higiene: Incluye la instalación de señalización de seguridad (10 señales), entrega de equipo de protección personal (20 cascos, guantes) y capacitación al personal en protocolos de seguridad.</t>
  </si>
  <si>
    <t>Descapote: Remoción de vegetación y capa superficial de tierra en un área de 500 m² con una profundidad promedio de 20 cm, utilizando maquinaria ligera y herramientas manuales.</t>
  </si>
  <si>
    <t>Cerramiento de aislamiento del sector: Instalación de 30 m lineales de láminas galvanizadas de 3 yardas de altura para delimitar el perímetro del área de trabajo y garantizar seguridad.</t>
  </si>
  <si>
    <t>Demolición: Destrucción controlada de estructuras existentes de 50 m², utilizando maquinaria específica. Incluye retiro de 12 m³ de escombros y transporte a un sitio autorizado.</t>
  </si>
  <si>
    <t>Acareo de materiales: Transporte interno de materiales dentro del área de trabajo, abarcando un volumen de 10 m³.</t>
  </si>
  <si>
    <t>Desalojo: Retiro de residuos sólidos acumulados durante las actividades preliminares, incluyendo transporte hacia áreas de disposición final autorizadas.</t>
  </si>
  <si>
    <t>Trazo y nivelación: Marcado de ejes y niveles para futuras construcciones en un área de 300 m², empleando nivel óptico y herramientas de precisión.</t>
  </si>
  <si>
    <t>Limpieza, chapeo y entroncado: Limpieza del terreno en un área de 400 m², eliminando maleza, raíces y residuos sólidos mediante maquinaria ligera y equipo manual.</t>
  </si>
  <si>
    <t>Movimientos de Tierra</t>
  </si>
  <si>
    <t>Excavación para cisternas: Excavación de un área de 5x5 metros con una profundidad de 3 metros para cisternas, utilizando retroexcavadora y considerando el retiro de 75 m³ de material.</t>
  </si>
  <si>
    <t>Excavación para pozos sépticos: Excavación de un pozo séptico con un diámetro de 2 metros y profundidad de 4 metros, eliminando 12.5 m³ de tierra.</t>
  </si>
  <si>
    <t>Nivelación y compactación de terreno: Nivelación de un área de 200 m² y compactación al 95% Proctor con una capa de relleno de 15 cm de espesor.</t>
  </si>
  <si>
    <t>Relleno de zanjas: Relleno y compactación de 50 m lineales de zanjas previamente excavadas, utilizando material seleccionado.</t>
  </si>
  <si>
    <t>Trazo y Nivelación</t>
  </si>
  <si>
    <t>Trazo topográfico: Realización del trazo general del terreno en un área de 500 m², utilizando estación total y nivel óptico para garantizar precisión en cotas y alineaciones.</t>
  </si>
  <si>
    <t>Nivelación inicial del terreno: Corrección de desniveles en un área de 300 m², aplicando relleno o retiro de material para alcanzar una tolerancia de ±2 cm, empleando maquinaria ligera como minicargadores.</t>
  </si>
  <si>
    <t>Colocación de estacas y referencias: Instalación de 50 estacas de madera tratada, cada una de 1.5 m de altura, para delimitar los ejes de construcción y niveles de referencia.</t>
  </si>
  <si>
    <t>Marcado de cimentaciones: Identificación y marcado preciso de zanjas para cimentaciones en un área de 200 m², empleando hilo de trazado y plomadas.</t>
  </si>
  <si>
    <t>Revisión de niveles y pendientes: Verificación de cotas y pendientes en superficies de trabajo, garantizando que cumplan con los diseños especificados, con una tolerancia de ±1 cm.</t>
  </si>
  <si>
    <t>Rectificación de trazos: Ajuste y corrección de marcas iniciales debido a cambios en el diseño o condiciones imprevistas, asegurando que los puntos de referencia sean precisos y actualizados.</t>
  </si>
  <si>
    <t>Excavaciones</t>
  </si>
  <si>
    <t>Excavación para cimentaciones: Realización de zanjas para cimentaciones corridas, con dimensiones de 0.6 m de ancho por 0.8 m de profundidad y una longitud de 50 m lineales.</t>
  </si>
  <si>
    <t>Excavación para muros de contención: Apertura de zanjas de 0.8 m de profundidad y 0.7 m de ancho para una longitud de 30 m.</t>
  </si>
  <si>
    <t>Excavación en terreno rocoso: Uso de martillo neumático para remover 20 m³ de terreno rocoso, asegurando un acabado nivelado.</t>
  </si>
  <si>
    <t>Excavación para pozos: Excavación manual o con maquinaria de un pozo de 2 m de diámetro y 5 m de profundidad, extrayendo 15.7 m³ de material.</t>
  </si>
  <si>
    <t>Apertura de canaletas: Excavación de canaletas de drenaje con un ancho de 30 cm y profundidad de 40 cm, a lo largo de 25 m lineales.</t>
  </si>
  <si>
    <t>Excavación para instalaciones: Apertura de zanjas de 0.3 m de ancho y 0.5 m de profundidad para instalaciones de tuberías o cables, abarcando 40 m lineales.</t>
  </si>
  <si>
    <t>Relleno y compactación de excavaciones: Relleno de 50 m lineales de zanjas previamente excavadas, compactando en capas de 20 cm hasta alcanzar una densidad del 95% Proctor.</t>
  </si>
  <si>
    <t>Excavación para fosas sépticas: Apertura de un área de 3x3 metros y 2 metros de profundidad para instalar una fosa séptica.</t>
  </si>
  <si>
    <t>Excavación para bases de maquinaria: Excavación de un área de 4x4 metros y 1 metro de profundidad para la instalación de maquinaria pesada.</t>
  </si>
  <si>
    <t>Fundaciones</t>
  </si>
  <si>
    <t>Cimentaciones corridas: Construcción de 40 m lineales de cimentaciones corridas de concreto ciclópeo, con dimensiones de 0.6 m de ancho y 0.8 m de altura.</t>
  </si>
  <si>
    <t>Zapatas aisladas: Vaciado de 8 zapatas aisladas de concreto armado, cada una con dimensiones de 1.2x1.2x0.4 m, reforzadas con acero #4.</t>
  </si>
  <si>
    <t>Soleras de fundación: Instalación de 35 m lineales de soleras de concreto con un espesor de 15 cm, reforzadas con malla electrosoldada.</t>
  </si>
  <si>
    <t>Pilotes: Perforación e instalación de 10 pilotes de concreto armado, cada uno con un diámetro de 0.6 m y una profundidad de 8 m.</t>
  </si>
  <si>
    <t>Placas de fundación: Colocación de placas de concreto de 3x3 m con un espesor de 30 cm, reforzadas con doble capa de acero.</t>
  </si>
  <si>
    <t>Refuerzos de cimentaciones: Instalación de varillas de refuerzo verticales y horizontales en cimentaciones corridas, según especificaciones estructurales.</t>
  </si>
  <si>
    <t>Relleno y compactación: Relleno de cimentaciones con material granular, compactado en capas de 20 cm hasta alcanzar una densidad del 95% Proctor.</t>
  </si>
  <si>
    <t>Impermeabilización de cimentaciones: Aplicación de membranas impermeables en 40 m lineales de cimentaciones para prevenir filtraciones.</t>
  </si>
  <si>
    <t>Paredes y Muros</t>
  </si>
  <si>
    <t>Paredes de bloque de concreto: Construcción de 100 m² de muros con bloques de concreto de 15 cm de espesor, utilizando mortero 1:2 y refuerzo con varilla #3 cada 2 m.</t>
  </si>
  <si>
    <t>Paredes de ladrillo: Colocación de 120 m² de muros con ladrillo artesanal, empleando mortero 1:5 para acabados finos.</t>
  </si>
  <si>
    <t>Paredes de tabla roca: Instalación de 80 m² de muros interiores con paneles de tabla roca sobre estructura metálica.</t>
  </si>
  <si>
    <t>Muros de contención: Construcción de 50 m lineales de muros de concreto armado, con 0.3 m de ancho y 2 m de altura.</t>
  </si>
  <si>
    <t>Paredes prefabricadas: Montaje de 60 m² de paneles prefabricados para muros exteriores con acabado texturizado.</t>
  </si>
  <si>
    <t>Paredes de vidrio: Instalación de 20 m² de paneles de vidrio templado de 10 mm, con marcos de aluminio anodizado.</t>
  </si>
  <si>
    <t>Paredes de mampostería: Construcción de 80 m² de muros de piedra natural, utilizando mezcla de cemento y arena 1:3.</t>
  </si>
  <si>
    <t>Muros colados in situ: Vaciado de 40 m² de muros de concreto, con formaletas metálicas y refuerzo de varilla 3/8".</t>
  </si>
  <si>
    <t>Paredes divisorias ligeras: Instalación de 30 m² de divisiones modulares con estructura de aluminio y paneles de PVC.</t>
  </si>
  <si>
    <t>Refuerzos Estructurales</t>
  </si>
  <si>
    <t>Columnas de concreto armado: Construcción de 10 columnas de 3 m de altura y sección de 20x20 cm, reforzadas con varilla #4 y estribos cada 15 cm.</t>
  </si>
  <si>
    <t>Castillos: Instalación de 30 m lineales de castillos de concreto reforzados con varilla #3, separados cada 2 m en muros.</t>
  </si>
  <si>
    <t>Vigas de concreto: Colocación de 20 m lineales de vigas de concreto armado, con una sección de 20x30 cm, utilizando acero #4 y estribos a cada 20 cm.</t>
  </si>
  <si>
    <t>Refuerzo metálico: Instalación de perfiles metálicos IPE para refuerzos estructurales, con un total de 15 m lineales.</t>
  </si>
  <si>
    <t>Placas de anclaje: Colocación de 10 placas de anclaje de acero de 30x30 cm, soldadas a columnas metálicas.</t>
  </si>
  <si>
    <t>Tensores: Instalación de 8 tensores de acero galvanizado de 12 mm de diámetro, con anclajes en los extremos.</t>
  </si>
  <si>
    <t>Refuerzo de cimentaciones: Colocación de varillas de refuerzo adicionales en cimentaciones corridas y zapatas según especificaciones.</t>
  </si>
  <si>
    <t>Entrepisos y Losas</t>
  </si>
  <si>
    <t>Losa maciza de concreto: Construcción de 100 m² de losa maciza de concreto armado con un espesor de 15 cm, reforzada con doble capa de acero #4.</t>
  </si>
  <si>
    <t>Losa aligerada con bovedilla: Construcción de 120 m² de losa aligerada utilizando bloques de poliestireno y refuerzo con varillas de acero #3 a cada 30 cm.</t>
  </si>
  <si>
    <t>Losa prefabricada: Instalación de 80 m² de losa prefabricada con paneles de concreto, soportados por vigas metálicas.</t>
  </si>
  <si>
    <t>Forjado metálico: Montaje de 50 m² de entrepiso con perfiles de acero laminado, utilizando placas colaborantes.</t>
  </si>
  <si>
    <t>Entrepiso de madera: Instalación de 40 m² de entrepiso de madera tratada, con vigas de soporte y acabado barnizado.</t>
  </si>
  <si>
    <t>Refuerzo de entrepisos: Colocación de perfiles metálicos adicionales en áreas de mayor carga para reforzar los entrepisos existentes.</t>
  </si>
  <si>
    <t>Impermeabilización de losas: Aplicación de membrana impermeable en 100 m² de losas superiores para evitar filtraciones.</t>
  </si>
  <si>
    <t>Pulido de losas: Realización de pulido mecánico en 80 m² de losas para un acabado liso y listo para recubrimientos.</t>
  </si>
  <si>
    <t>Acabados en losas: Aplicación de selladores y recubrimientos epóxicos en 60 m² de losas para áreas industriales o húmedas.</t>
  </si>
  <si>
    <t>Escaleras</t>
  </si>
  <si>
    <t>Escaleras de concreto armado: Construcción de escaleras de concreto armado con un ancho de 1 m, contrahuella de 18 cm y huella de 28 cm, con acabado en pulido o fratasado.</t>
  </si>
  <si>
    <t>Escaleras metálicas: Instalación de escaleras metálicas de perfil IPE para interiores, con pasamanos y acabado en pintura anticorrosiva.</t>
  </si>
  <si>
    <t>Escaleras de madera: Construcción de escaleras de madera tratada para interiores, con un ancho de 0.9 m, barnizadas para durabilidad y resistencia a la humedad.</t>
  </si>
  <si>
    <t>Escaleras prefabricadas: Instalación de módulos prefabricados de escaleras de concreto, con ensamblaje in situ para áreas exteriores o interiores.</t>
  </si>
  <si>
    <t>Escaleras flotantes: Instalación de escaleras flotantes de diseño arquitectónico, utilizando peldaños individuales de madera o concreto anclados a muros estructurales.</t>
  </si>
  <si>
    <t>Escaleras helicoidales: Construcción de escaleras helicoidales de concreto o metal con un diámetro de 2 m, diseñadas para maximizar espacio.</t>
  </si>
  <si>
    <t>Refuerzo de escaleras existentes: Refuerzo estructural de escaleras de concreto o metal, incluyendo la reparación de peldaños y aplicación de recubrimientos antideslizantes.</t>
  </si>
  <si>
    <t>Acabados en escaleras: Aplicación de recubrimientos como cerámica, granito o alfombras en 20 escalones, con bordes de seguridad.</t>
  </si>
  <si>
    <t>Escaleras exteriores: Construcción de escaleras exteriores con concreto ciclópeo, diseñadas para resistir condiciones climáticas adversas.</t>
  </si>
  <si>
    <t>Techos y Cubiertas</t>
  </si>
  <si>
    <t>Cubierta de lámina galvanizada: Instalación de 100 m² de lámina galvanizada calibre 26, con aislamiento térmico y botaguas en los bordes.</t>
  </si>
  <si>
    <t>Cubierta de teja cerámica: Colocación de 80 m² de teja cerámica con soporte de madera tratada, incluyendo impermeabilización con fieltro asfáltico.</t>
  </si>
  <si>
    <t>Cubierta de policarbonato: Instalación de 50 m² de policarbonato traslúcido para techos ligeros, con estructura metálica.</t>
  </si>
  <si>
    <t>Cubierta de teja asfáltica: Montaje de 70 m² de teja asfáltica sobre superficie de madera contrachapada, impermeabilizada previamente.</t>
  </si>
  <si>
    <t>Techumbre metálica: Construcción de 120 m² de techo metálico con perfil IPR, lámina ondulada y aislamiento termoacústico.</t>
  </si>
  <si>
    <t>Techos prefabricados: Instalación de paneles prefabricados tipo sándwich en un área de 60 m², con núcleo aislante de poliuretano.</t>
  </si>
  <si>
    <t>Refuerzo de cubiertas existentes: Refuerzo estructural en 40 m² de techos existentes con perfiles metálicos y láminas nuevas.</t>
  </si>
  <si>
    <t>Cielo falso: Instalación de 100 m² de cielo falso con paneles de yeso o PVC, sobre estructura metálica.</t>
  </si>
  <si>
    <t>Impermeabilización de techos: Aplicación de membranas impermeables en 80 m² de techos para prevenir filtraciones.</t>
  </si>
  <si>
    <t>Accesorios para techos: Instalación de canaletas, bajantes y remates metálicos en un total de 50 m lineales.</t>
  </si>
  <si>
    <t>Acabados</t>
  </si>
  <si>
    <t>Enlucido de paredes: Aplicación de mortero de cemento en 150 m² de paredes interiores, con un espesor promedio de 1.5 cm, utilizando mezcla 1:4.</t>
  </si>
  <si>
    <t>Enlucido de techos: Aplicación de mortero fino en 100 m² de techos interiores, asegurando un acabado liso y uniforme.</t>
  </si>
  <si>
    <t>Pintura en interiores: Aplicación de sellador y dos capas de pintura acrílica en 200 m² de paredes y techos, con colores seleccionados según diseño.</t>
  </si>
  <si>
    <t>Pintura en exteriores: Aplicación de pintura elastomérica en 120 m² de fachadas, con resistencia a la intemperie y acabados texturizados.</t>
  </si>
  <si>
    <t>Acabado de esquinas: Colocación de cantoneras metálicas en 50 m lineales para proteger esquinas y lograr un acabado preciso.</t>
  </si>
  <si>
    <t>Aplicación de cerámica en paredes: Instalación de azulejos de cerámica en 80 m² de muros, utilizando adhesivo especializado y juntas de 2 mm.</t>
  </si>
  <si>
    <t>Aplicación de porcelanato en paredes: Instalación de 60 m² de porcelanato en áreas húmedas, con juntas epóxicas para mayor impermeabilidad.</t>
  </si>
  <si>
    <t>Estuco decorativo: Aplicación de estuco veneciano en 40 m² de paredes, logrando un acabado brillante y personalizado.</t>
  </si>
  <si>
    <t>Revestimientos en madera: Colocación de paneles de madera tratada en 30 m² de muros interiores, con acabado barnizado.</t>
  </si>
  <si>
    <t>Revestimientos en piedra: Instalación de piedra natural en 25 m² de muros exteriores, con adhesivo y sellador resistente al clima.</t>
  </si>
  <si>
    <t>Molduras y cornisas: Instalación de 100 m lineales de molduras de yeso en techos y paredes, para acabados decorativos.</t>
  </si>
  <si>
    <t>Acabado con papel tapiz: Colocación de papel tapiz vinílico en 50 m² de paredes interiores, con adhesivos especializados.</t>
  </si>
  <si>
    <t>Pisos</t>
  </si>
  <si>
    <t>Piso cerámico: Instalación de 100 m² de cerámica de alto tránsito, utilizando adhesivo especializado y juntas epóxicas.</t>
  </si>
  <si>
    <t>Piso de porcelanato: Colocación de 80 m² de porcelanato con acabados brillantes o mate, para interiores o exteriores.</t>
  </si>
  <si>
    <t>Piso vinílico: Instalación de 60 m² de piso vinílico de alta resistencia, ideal para áreas húmedas o comerciales.</t>
  </si>
  <si>
    <t>Piso laminado: Instalación de 50 m² de piso laminado tipo madera, con sistema de clic y aislamiento acústico</t>
  </si>
  <si>
    <t>Piso de mármol: Colocación de 40 m² de mármol natural pulido, con sellado para mayor durabilidad.</t>
  </si>
  <si>
    <t>Piso de granito: Instalación de 30 m² de granito en formato de losetas, con acabado antideslizante en áreas exteriores.</t>
  </si>
  <si>
    <t>Piso antideslizante: Colocación de 50 m² de piso cerámico antideslizante, ideal para áreas húmedas como baños y cocinas.</t>
  </si>
  <si>
    <t>Piso de concreto pulido: Construcción de 100 m² de piso de concreto con acabado liso y sellado contra polvo.</t>
  </si>
  <si>
    <t>Piso de madera sólida: Instalación de 40 m² de madera natural, con tratamiento antihumedad y barnizado.</t>
  </si>
  <si>
    <t>Piso de ladrillo: Colocación de 60 m² de ladrillo artesanal en patios o áreas exteriores, con juntas de cemento.</t>
  </si>
  <si>
    <t>Piso de caucho: Instalación de 30 m² de piso de caucho en áreas recreativas o gimnasios.</t>
  </si>
  <si>
    <t>Piso industrial: Construcción de 80 m² de piso epóxico para áreas industriales o de alto tránsito.</t>
  </si>
  <si>
    <t>Puertas</t>
  </si>
  <si>
    <t>Puertas de madera sólida: Fabricación e instalación de puertas de madera natural de 0.9x2.1 m, con acabado barnizado y herrajes incluidos.</t>
  </si>
  <si>
    <t>Puertas metálicas: Instalación de puertas de acero laminado para exteriores, de 0.9x2.1 m, con pintura anticorrosiva y cerradura de seguridad.</t>
  </si>
  <si>
    <t>Puertas de vidrio templado: Montaje de puertas de vidrio templado de 10 mm de grosor, con bisagras y manijas de acero inoxidable, en dimensiones de 0.8x2.0 m.</t>
  </si>
  <si>
    <t>Puertas corredizas: Instalación de puertas corredizas de aluminio con vidrio laminado, en dimensiones de 2.0x2.2 m, ideales para áreas exteriores o interiores.</t>
  </si>
  <si>
    <t>Puertas de PVC: Colocación de puertas de PVC en baños o áreas húmedas, con dimensiones estándar de 0.7x2.0 m y bisagras resistentes a la humedad.</t>
  </si>
  <si>
    <t>Puertas acústicas: Instalación de puertas acústicas con núcleo de aislamiento y revestimiento de madera, en dimensiones de 0.9x2.1 m, ideales para estudios o salas de reuniones.</t>
  </si>
  <si>
    <t>Puertas plegables: Montaje de puertas plegables de PVC o madera, para espacios reducidos, con dimensiones ajustables de hasta 1.5 m de ancho.</t>
  </si>
  <si>
    <t>Puertas contra incendio: Instalación de puertas certificadas contra fuego, con núcleo de acero y acabado en pintura epóxica, en dimensiones de 0.9x2.1 m.</t>
  </si>
  <si>
    <t>Restauración de puertas existentes: Reparación y barnizado de puertas de madera, incluyendo cambio de cerraduras y bisagras si es necesario.</t>
  </si>
  <si>
    <t>Herrajes y accesorios: Suministro e instalación de cerraduras, manijas, bisagras y retenedores para todas las puertas instaladas.</t>
  </si>
  <si>
    <t>Ventanas</t>
  </si>
  <si>
    <t>Ventanas de aluminio y vidrio: Instalación de ventanas corredizas de aluminio anodizado con vidrio templado de 6 mm, en dimensiones de 1.2x1.2 m.</t>
  </si>
  <si>
    <t>Ventanas de madera: Fabricación e instalación de ventanas de madera tratada, con vidrio flotado de 5 mm y sellado hermético, en dimensiones de 1.0x1.0 m.</t>
  </si>
  <si>
    <t>Ventanas de PVC: Colocación de ventanas abatibles de PVC, con doble acristalamiento y marco resistente a la intemperie, en dimensiones de 1.0x1.2 m.</t>
  </si>
  <si>
    <t>Ventanas acústicas: Instalación de ventanas con doble vidrio laminado de 6 mm, separadas por cámara de aire, para aislamiento acústico, en dimensiones de 1.2x1.5 m.</t>
  </si>
  <si>
    <t>Ventanas panorámicas: Montaje de ventanales fijos de vidrio templado de 10 mm, con perfiles de aluminio, en dimensiones de 3.0x2.5 m.</t>
  </si>
  <si>
    <t>Ventanas abatibles: Instalación de ventanas abatibles de acero galvanizado, con pintura electrostática, en dimensiones de 1.2x1.0 m.</t>
  </si>
  <si>
    <t>Ventanas de proyección: Colocación de ventanas de proyección con sistema de bisagras ocultas, en dimensiones de 0.9x0.9 m.</t>
  </si>
  <si>
    <t>Restauración de ventanas existentes: Reparación de ventanas de madera o aluminio, incluyendo sustitución de vidrios y herrajes.</t>
  </si>
  <si>
    <t>Ventanas para baños: Instalación de ventanas de vidrio esmerilado para privacidad, en dimensiones de 0.6x0.6 m, con marcos de PVC o aluminio.</t>
  </si>
  <si>
    <t>Herrajes y accesorios: Suministro e instalación de bisagras, cerraduras, manijas y sellos para todas las ventanas colocadas.</t>
  </si>
  <si>
    <t>Instalaciones Sanitarias (Agua Potable y Drenaje)</t>
  </si>
  <si>
    <t>Red de agua potable: Instalación de 100 m de tubería PVC de 1/2” para red de distribución, incluyendo accesorios como codos y válvulas.</t>
  </si>
  <si>
    <t>Conexiones domiciliarias: Conexión de red principal a servicios sanitarios de vivienda, con 20 m de tubería PVC de 3/4” y válvulas de control.</t>
  </si>
  <si>
    <t>Sistema de desagüe sanitario: Colocación de 80 m de tubería PVC de 4” para drenajes principales y accesorios de conexión.</t>
  </si>
  <si>
    <t>Sistemas de drenaje pluvial: Instalación de 50 m de tubería PVC de 3” para recolección de agua de lluvia, incluyendo rejillas y registros.</t>
  </si>
  <si>
    <t>Fosas sépticas: Construcción de una fosa séptica prefabricada de concreto con capacidad de 5 m³, conectada al sistema de desagüe.</t>
  </si>
  <si>
    <t>Pozos de absorción: Excavación y construcción de pozo de absorción con anillos de concreto prefabricados, con un diámetro de 1.2 m y profundidad de 3 m.</t>
  </si>
  <si>
    <t>Instalación de accesorios sanitarios: Colocación de lavamanos, inodoros y duchas en baños, con conexiones de agua potable y desagüe.</t>
  </si>
  <si>
    <t>Tanque elevado o cisterna: Instalación de tanque elevado de 2,000 litros o cisterna subterránea con sistema de bombeo.</t>
  </si>
  <si>
    <t>Pruebas de presión y fugas: Realización de pruebas hidráulicas para garantizar la estanqueidad de las redes de agua potable y desagües.</t>
  </si>
  <si>
    <t>Reparaciones de redes sanitarias existentes: Sustitución de tuberías dañadas y rehabilitación de conexiones en instalaciones existentes.</t>
  </si>
  <si>
    <t>Aguas Negras y Pluviales</t>
  </si>
  <si>
    <t>Instalación de tuberías de aguas negras: Colocación de 80 m de tubería PVC de 4", diseñada para drenajes principales, incluyendo conexiones y codos.</t>
  </si>
  <si>
    <t>Instalación de tuberías de aguas pluviales: Instalación de 50 m de tubería PVC de 3", para la recolección de aguas de lluvia en áreas residenciales.</t>
  </si>
  <si>
    <t>Pozos de absorción: Excavación y construcción de pozo de absorción con anillos prefabricados de concreto, de 1.2 m de diámetro y 3 m de profundidad.</t>
  </si>
  <si>
    <t>Rejillas de captación: Instalación de rejillas de captación en 5 puntos estratégicos para dirigir las aguas pluviales hacia el sistema de drenaje.</t>
  </si>
  <si>
    <t>Trampas de grasa: Colocación de una trampa de grasa prefabricada, con capacidad para 50 litros, en áreas de cocina.</t>
  </si>
  <si>
    <t>Cámaras de inspección: Construcción de 3 cámaras de inspección de concreto, con tapas removibles, para mantenimiento del sistema.</t>
  </si>
  <si>
    <t>Drenaje subterráneo: Instalación de drenaje subterráneo con tubería corrugada de 100 m, para áreas de cultivo o jardines.</t>
  </si>
  <si>
    <t>Conexión a red municipal: Conexión de tuberías de aguas negras y pluviales al sistema de alcantarillado público, incluyendo válvulas de control.</t>
  </si>
  <si>
    <t>Sistemas de retención de aguas pluviales: Instalación de tanque de retención de aguas pluviales con capacidad de 2,000 litros, para riego o uso doméstico.</t>
  </si>
  <si>
    <t>Pruebas hidráulicas: Realización de pruebas de flujo y estanqueidad en las tuberías instaladas, garantizando su correcto funcionamiento.</t>
  </si>
  <si>
    <t>Electricidad</t>
  </si>
  <si>
    <t>Instalación de acometida eléctrica: Montaje de acometida aérea o subterránea, con cableado de 6 AWG, tablero de distribución y protecciones principales.</t>
  </si>
  <si>
    <t>Tendido de circuitos eléctricos: Instalación de 150 m de cableado eléctrico de 12 AWG, con tubos conduit y cajas de derivación.</t>
  </si>
  <si>
    <t>Instalación de luminarias: Montaje de 20 luminarias LED de 18 W en interiores y exteriores, con soportes metálicos y conexiones.</t>
  </si>
  <si>
    <t>Instalación de tomacorrientes: Colocación de 25 tomacorrientes dobles polarizados, con cableado independiente y protección.</t>
  </si>
  <si>
    <t>Interruptores: Instalación de 15 interruptores sencillos y dobles, con cajas de montaje empotradas.</t>
  </si>
  <si>
    <t>Circuitos para electrodomésticos: Tendido de circuitos dedicados para electrodomésticos de alto consumo, con cableado de 10 AWG y breakers individuales.</t>
  </si>
  <si>
    <t>Sistemas de iluminación decorativa: Instalación de 10 metros lineales de luces LED empotradas, con controles dimerizables.</t>
  </si>
  <si>
    <t>Instalación de ventiladores de techo: Montaje de 5 ventiladores de techo, con soporte estructural y conexiones eléctricas.</t>
  </si>
  <si>
    <t>Sistema de puesta a tierra: Colocación de 3 barras de cobre de 2.4 m y sistema de conexión a tierra para toda la instalación eléctrica.</t>
  </si>
  <si>
    <t>Tablero de distribución: Montaje de tablero de distribución con 12 circuitos, breakers térmicos y diferenciales, etiquetado y pruebas funcionales.</t>
  </si>
  <si>
    <t>Instalación de sistema de respaldo: Conexión de inversor y batería para respaldo eléctrico, con capacidad de 5 kWh.</t>
  </si>
  <si>
    <t>Instalación de sistemas de intercomunicación: Montaje de sistema de videoportero y telefonía interna, con cableado de datos y fuente de alimentación.</t>
  </si>
  <si>
    <t>Pruebas de funcionamiento: Realización de pruebas de continuidad, resistencia y carga en todos los circuitos instalados, garantizando la seguridad y funcionalidad.</t>
  </si>
  <si>
    <t>Energías Renovables</t>
  </si>
  <si>
    <t>Instalación de paneles solares: Montaje de 20 paneles solares fotovoltaicos de 450 Wp cada uno, en un área de 40 m², con estructura metálica y sistema de anclaje.</t>
  </si>
  <si>
    <t>Sistema de almacenamiento de energía: Instalación de baterías de litio con una capacidad total de 10 kWh, conectadas a un inversor híbrido.</t>
  </si>
  <si>
    <t>Inversores solares: Colocación de inversor solar de 5 kW, con protección contra sobretensiones y sistema de monitoreo en tiempo real.</t>
  </si>
  <si>
    <t>Sistemas de calentamiento solar de agua: Instalación de colectores solares para agua caliente sanitaria, con capacidad de 200 litros y aislamiento térmico.</t>
  </si>
  <si>
    <t>Iluminación solar: Montaje de 10 lámparas solares autónomas para exteriores, con baterías integradas y paneles individuales de 30 W.</t>
  </si>
  <si>
    <t>Sistemas de bombeo solar: Instalación de bomba de agua alimentada por energía solar, con capacidad de 1.5 HP y paneles dedicados.</t>
  </si>
  <si>
    <t>Sistemas de energía eólica: Montaje de un aerogenerador de 1 kW con torre de 10 m de altura, anclajes y conexiones eléctricas al sistema principal.</t>
  </si>
  <si>
    <t>Sistemas de cogeneración: Instalación de sistema de cogeneración para uso industrial, con una capacidad de 50 kW térmicos y eléctricos combinados.</t>
  </si>
  <si>
    <t>Vehículos eléctricos y estaciones de carga: Montaje de estación de carga tipo 2 para vehículos eléctricos, con capacidad de 7.2 kW y conectividad.</t>
  </si>
  <si>
    <t>Mantenimiento de sistemas renovables: Revisión y limpieza de paneles solares, chequeo de baterías e inversores, asegurando la eficiencia del sistema.</t>
  </si>
  <si>
    <t>Instalaciones Mecánicas</t>
  </si>
  <si>
    <t>Sistemas de aire acondicionado: Instalación de unidades tipo split de 12,000 BTU, con tuberías de cobre y aislamiento térmico, en un área de 40 m².</t>
  </si>
  <si>
    <t>Ventilación mecánica: Montaje de sistemas de extracción de aire en cocinas o baños, con ductos galvanizados y extractor de 250 CFM.</t>
  </si>
  <si>
    <t>Ductos de aire acondicionado: Fabricación e instalación de 30 m lineales de ductos de lámina galvanizada, con aislamiento acústico y térmico.</t>
  </si>
  <si>
    <t>Sistemas de extracción de humo: Colocación de campanas de extracción para cocinas industriales, conectadas a ductos de 200 mm de diámetro.</t>
  </si>
  <si>
    <t>Sistemas de calefacción: Instalación de calderas a gas o eléctricas con capacidad de 50,000 kcal/h, conectadas a radiadores en un área de 150 m².</t>
  </si>
  <si>
    <t>Sistemas de bombeo: Instalación de bombas centrífugas de 3 HP para redes hidráulicas, con conexiones a sistemas de agua potable o pluvial.</t>
  </si>
  <si>
    <t>Sistemas de refrigeración industrial: Montaje de cámaras frigoríficas con capacidad de 20 m³, incluyendo paneles aislantes y compresores de 5 HP.</t>
  </si>
  <si>
    <t>Tuberías para sistemas mecánicos: Instalación de 50 m de tuberías de acero inoxidable de 2", con accesorios como codos y válvulas para redes de vapor o agua caliente.</t>
  </si>
  <si>
    <t>Equipos de presurización: Montaje de equipos hidroneumáticos con tanque de 500 litros, para mantener la presión constante en redes hidráulicas.</t>
  </si>
  <si>
    <t>Mantenimiento de sistemas mecánicos: Inspección, limpieza y ajustes en sistemas de ventilación, aire acondicionado y bombas para asegurar su funcionamiento óptimo.</t>
  </si>
  <si>
    <t>Sistemas de Automatización</t>
  </si>
  <si>
    <t>Domótica residencial: Instalación de sistemas de automatización para control de luces, persianas y climatización mediante dispositivos inteligentes, cubriendo una vivienda de 150 m².</t>
  </si>
  <si>
    <t>Control de iluminación: Montaje de sensores de movimiento y reguladores de intensidad para 20 luminarias interiores y exteriores.</t>
  </si>
  <si>
    <t>Sistemas de seguridad inteligente: Integración de cámaras IP, sensores de puertas y ventanas, y alarmas conectadas a dispositivos móviles.</t>
  </si>
  <si>
    <t>Automatización de persianas: Instalación de 10 motores eléctricos para persianas enrollables, con control remoto y conectividad.</t>
  </si>
  <si>
    <t>Sistemas de audio y video: Configuración de sistemas de sonido envolvente y pantallas automáticas en una sala de 30 m².</t>
  </si>
  <si>
    <t>Redes de comunicación: Instalación de red Wi-Fi mesh para garantizar cobertura total en 200 m², con routers y puntos de acceso.</t>
  </si>
  <si>
    <t>Sistemas de riego automatizado: Montaje de sistema de riego inteligente para un jardín de 100 m², con sensores de humedad y programación.</t>
  </si>
  <si>
    <t>Control de acceso: Instalación de cerraduras inteligentes con reconocimiento biométrico y apertura mediante aplicaciones móviles, en 5 puertas.</t>
  </si>
  <si>
    <t>Integración de asistentes virtuales: Configuración de dispositivos como Alexa o Google Home para el control de sistemas automatizados en una vivienda.</t>
  </si>
  <si>
    <t>Mantenimiento de sistemas de automatización: Inspección y actualización de software en dispositivos automatizados, asegurando su correcto funcionamiento.</t>
  </si>
  <si>
    <t>Obra Civil en Interiores</t>
  </si>
  <si>
    <t>Falsos techos acústicos: Instalación de 100 m² de techos acústicos con paneles de fibra mineral, suspendidos en estructuras metálicas.</t>
  </si>
  <si>
    <t>Revestimiento de paredes: Aplicación de paneles decorativos de PVC o madera en 80 m² de paredes interiores, con acabados texturizados.</t>
  </si>
  <si>
    <t>Construcción de divisiones ligeras: Montaje de 60 m² de paredes interiores con estructura metálica y paneles de tabla roca.</t>
  </si>
  <si>
    <t>Pisos elevados: Instalación de 40 m² de pisos elevados para cableado en oficinas, con paneles modulares y estructura ajustable.</t>
  </si>
  <si>
    <t>Construcción de nichos y muebles empotrados: Fabricación de nichos decorativos y muebles empotrados en paredes de concreto o tabla roca.</t>
  </si>
  <si>
    <t>Acabados en escaleras interiores: Aplicación de revestimientos como madera, cerámica o mármol en 20 escalones de escaleras interiores.</t>
  </si>
  <si>
    <t>Zócalos y molduras: Colocación de 150 m lineales de zócalos y molduras decorativas de PVC, madera o yeso.</t>
  </si>
  <si>
    <t>Reparación de paredes y techos: Restauración de 50 m² de paredes con grietas o humedad, incluyendo enlucido y pintura.</t>
  </si>
  <si>
    <t>Instalación de puertas correderas interiores: Montaje de 5 puertas correderas de madera o vidrio, con herrajes y sistemas de guías.</t>
  </si>
  <si>
    <t>Instalación de ventanas interiores: Colocación de 8 ventanas interiores con marcos de aluminio y vidrio templado, en dimensiones de 1.0x1.2 m.</t>
  </si>
  <si>
    <t>Trabajos de carpintería interior: Fabricación e instalación de muebles de madera para cocinas, closets y baños.</t>
  </si>
  <si>
    <t>Adecuación para sistemas de iluminación: Modificación de techos y paredes para la instalación de luminarias empotradas o colgantes.</t>
  </si>
  <si>
    <t>Instalación de chimeneas decorativas: Colocación de chimeneas eléctricas o de bioetanol, con revestimiento decorativo en piedra o madera.</t>
  </si>
  <si>
    <t>Mantenimiento de interiores existentes: Reparación y renovación de elementos constructivos como techos, paredes y acabados decorativos.</t>
  </si>
  <si>
    <t>Urbanización y Áreas Exteriores</t>
  </si>
  <si>
    <t>Pavimentación de calles y aceras: Colocación de 200 m² de pavimento con concreto reforzado, incluyendo juntas de dilatación y acabado texturizado.</t>
  </si>
  <si>
    <t>Instalación de adoquines: Colocación de 150 m² de adoquines tipo hexagonal, con una base de arena y compactación mecánica.</t>
  </si>
  <si>
    <t>Construcción de muros de contención: Levantamiento de 50 m lineales de muros de contención en concreto ciclópeo, con una altura promedio de 1.5 m.</t>
  </si>
  <si>
    <t>Instalación de mobiliario urbano: Colocación de 10 bancas metálicas y 5 papeleras en áreas recreativas, ancladas con bases de concreto.</t>
  </si>
  <si>
    <t>Jardinería: Plantación de 20 árboles frutales y 100 m² de césped natural, con instalación de sistemas de riego automático.</t>
  </si>
  <si>
    <t>Construcción de senderos peatonales: Instalación de 100 m² de senderos con baldosas antideslizantes, delimitados con bordillos de concreto.</t>
  </si>
  <si>
    <t>Iluminación exterior: Montaje de 10 postes de iluminación LED de 6 m de altura, con cableado subterráneo y protecciones.</t>
  </si>
  <si>
    <t>Sistemas de drenaje pluvial: Instalación de 50 m lineales de canaletas pluviales prefabricadas, con rejillas de acero galvanizado.</t>
  </si>
  <si>
    <t>Áreas deportivas: Construcción de una cancha de 200 m² con piso de concreto pulido, demarcación y porterías metálicas.</t>
  </si>
  <si>
    <t>Mantenimiento de áreas exteriores: Reparación de pavimentos, reposición de plantas y limpieza general en 300 m² de áreas comunes.</t>
  </si>
  <si>
    <t>Obras Exteriores</t>
  </si>
  <si>
    <t>Cercos perimetrales: Instalación de 100 m lineales de cerco metálico tipo malla ciclónica con postes galvanizados y anclajes de concreto.</t>
  </si>
  <si>
    <t>Construcción de rampas de acceso: Fabricación de rampas de concreto reforzado de 1.5 m de ancho y 6% de pendiente para accesibilidad universal.</t>
  </si>
  <si>
    <t>Instalación de pérgolas: Montaje de pérgolas metálicas o de madera en un área de 20 m², con acabados en pintura o barniz.</t>
  </si>
  <si>
    <t>Construcción de garitas de vigilancia: Edificación de garitas de 3x3 m en concreto, con ventanas de vidrio y puerta metálica.</t>
  </si>
  <si>
    <t>Áreas de estacionamiento: Pavimentación de 150 m² de estacionamiento con concreto reforzado, incluyendo demarcación de espacios.</t>
  </si>
  <si>
    <t>Construcción de fuentes decorativas: Montaje de una fuente de concreto de 2x2 m, con sistema de bombeo y recubrimiento en piedra.</t>
  </si>
  <si>
    <t>Instalación de barandas y pasamanos: Colocación de barandas metálicas o de acero inoxidable en 50 m lineales, con acabados en pintura epóxica.</t>
  </si>
  <si>
    <t>Construcción de quioscos: Edificación de quioscos de 4x4 m con estructura metálica o de madera y cubierta de teja.</t>
  </si>
  <si>
    <t>Senderos ecológicos: Construcción de 80 m lineales de senderos en grava compactada, delimitados con troncos o bordillos de madera.</t>
  </si>
  <si>
    <t>Reparación de elementos exteriores: Mantenimiento de muros, barandas y pavimentos existentes en un área de 200 m².</t>
  </si>
  <si>
    <t>Construcción de muros divisorios: Levantamiento de 30 m lineales de muros en bloque de concreto de 15 cm de espesor, con acabado pintado.</t>
  </si>
  <si>
    <t>Sistemas de Seguridad y Control de Acceso</t>
  </si>
  <si>
    <t>Instalación de cámaras de seguridad: Montaje de 10 cámaras de vigilancia IP con resolución de 1080p, conectadas a un sistema de grabación NVR.</t>
  </si>
  <si>
    <t>Sistemas de alarmas: Configuración de alarmas contra intrusión con sensores de movimiento, magnéticos y sirenas en una vivienda de 200 m².</t>
  </si>
  <si>
    <t>Control de acceso biométrico: Instalación de 5 dispositivos de reconocimiento facial o huella dactilar, conectados a puertas de acceso principal.</t>
  </si>
  <si>
    <t>Videoporteros: Montaje de 3 sistemas de videoporteros con pantalla de 7 pulgadas y cámaras de visión nocturna.</t>
  </si>
  <si>
    <t>Cercos eléctricos: Colocación de 100 m lineales de cerco eléctrico con 5 hilos y sistema de respaldo de energía.</t>
  </si>
  <si>
    <t>Iluminación perimetral automatizada: Instalación de 15 luminarias LED con sensores de movimiento y temporizadores.</t>
  </si>
  <si>
    <t>Sistemas de monitoreo remoto: Configuración de aplicaciones móviles para la supervisión en tiempo real de cámaras y alarmas.</t>
  </si>
  <si>
    <t>Puertas automáticas: Instalación de 2 puertas corredizas automáticas con motores eléctricos y controles remotos.</t>
  </si>
  <si>
    <t>Botones de pánico: Colocación de 5 botones de emergencia conectados al sistema de alarma central.</t>
  </si>
  <si>
    <t>Sistemas contra incendios: Instalación de detectores de humo, rociadores automáticos y extintores en un área de 300 m².</t>
  </si>
  <si>
    <t>Sistemas de Drenaje</t>
  </si>
  <si>
    <t>Instalación de tuberías principales de drenaje: Colocación de 100 m lineales de tubería PVC de 8”, con conexiones y registros para drenaje sanitario y pluvial.</t>
  </si>
  <si>
    <t>Construcción de pozos de inspección: Fabricación de 5 pozos de inspección de concreto prefabricado, con un diámetro de 1.2 m y una profundidad de 2 m.</t>
  </si>
  <si>
    <t>Rejillas de captación pluvial: Instalación de 20 rejillas de acero galvanizado de 60x60 cm, conectadas a tuberías de drenaje pluvial.</t>
  </si>
  <si>
    <t>Sistemas de drenaje subterráneo: Colocación de 80 m de tuberías corrugadas de polietileno de 6” para áreas deportivas o campos de cultivo.</t>
  </si>
  <si>
    <t>Canaletas de concreto: Construcción de 50 m lineales de canaletas de concreto de sección trapezoidal para conducción de aguas superficiales.</t>
  </si>
  <si>
    <t>Sistemas de retención de agua: Instalación de tanque subterráneo de 5,000 litros para almacenar agua pluvial y reutilizarla en riego.</t>
  </si>
  <si>
    <t>Drenaje en áreas pavimentadas: Instalación de 30 m lineales de drenaje lineal con rejillas decorativas para áreas peatonales o vehiculares.</t>
  </si>
  <si>
    <t>Conexión a red municipal de drenaje: Integración de sistemas de drenaje privado a la red pública, incluyendo válvulas de no retorno y registros.</t>
  </si>
  <si>
    <t>Sistemas de filtración y absorción: Construcción de sistemas de filtración con grava y geotextil para infiltrar aguas pluviales en el subsuelo.</t>
  </si>
  <si>
    <t>Mantenimiento de sistemas de drenaje: Limpieza de tuberías, registros y rejillas para garantizar el flujo adecuado de agua en el sistema.</t>
  </si>
  <si>
    <t>Obras de Restauración</t>
  </si>
  <si>
    <t>Restauración de fachadas antiguas: Limpieza, reparación y pintura de 100 m² de fachadas de edificaciones históricas, utilizando técnicas y materiales especializados.</t>
  </si>
  <si>
    <t>Reparación de techos deteriorados: Sustitución de 50 m² de cubiertas en mal estado, incluyendo impermeabilización y colocación de nuevos materiales.</t>
  </si>
  <si>
    <t>Rehabilitación de muros con grietas: Reparación de 80 m² de muros con grietas estructurales, aplicando refuerzos de malla y mortero estructural.</t>
  </si>
  <si>
    <t>Sustitución de revestimientos dañados: Retiro y reemplazo de 60 m² de revestimientos de cerámica o piedra en paredes o pisos.</t>
  </si>
  <si>
    <t>Reforzamiento estructural: Colocación de refuerzos metálicos o de concreto en columnas, vigas o muros con deterioro crítico.</t>
  </si>
  <si>
    <t>Restauración de elementos decorativos: Reparación y reproducción de molduras, cornisas o relieves en edificios patrimoniales, abarcando un área de 20 m lineales.</t>
  </si>
  <si>
    <t>Sustitución de sistemas eléctricos obsoletos: Modernización de instalaciones eléctricas en una vivienda de 200 m², garantizando el cumplimiento de normas vigentes.</t>
  </si>
  <si>
    <t>Reparación de instalaciones hidráulicas: Sustitución de tuberías de agua potable o desagüe en 50 m lineales, incluyendo accesorios y conexiones.</t>
  </si>
  <si>
    <t>Mantenimiento de carpintería: Reparación y barnizado de 10 puertas y 5 ventanas de madera, preservando el diseño original.</t>
  </si>
  <si>
    <t>Pintura y acabados interiores: Reaplicación de pintura en 150 m² de interiores, utilizando productos ecológicos y acabados decorativos.</t>
  </si>
  <si>
    <t>Limpieza y consolidación de estructuras: Limpieza profunda y aplicación de productos consolidantes en superficies de concreto o piedra para prolongar su vida útil.</t>
  </si>
  <si>
    <t>Restauración de pisos antiguos: Reparación y pulido de 50 m² de pisos de madera o mármol, preservando su apariencia original.</t>
  </si>
  <si>
    <t>Certificaciones y Documentación</t>
  </si>
  <si>
    <t>Certificación estructural: Emisión de certificado que avala la estabilidad estructural de una construcción de hasta 200 m², incluyendo inspección técnica y cálculo.</t>
  </si>
  <si>
    <t>Licencias de construcción: Gestión y obtención de permisos de construcción ante autoridades locales, para proyectos residenciales o comerciales.</t>
  </si>
  <si>
    <t>Certificación eléctrica: Realización de pruebas y emisión de certificado de cumplimiento de normas eléctricas en instalaciones de hasta 150 m².</t>
  </si>
  <si>
    <t>Certificación sanitaria: Inspección y certificación de sistemas de agua potable y drenaje conforme a normativas vigentes.</t>
  </si>
  <si>
    <t>Planos "As-Built": Elaboración de planos actualizados que reflejan las condiciones finales de una construcción, abarcando estructuras, instalaciones y acabados.</t>
  </si>
  <si>
    <t>Documentación técnica: Creación de manuales de operación y mantenimiento para sistemas mecánicos, eléctricos y sanitarios.</t>
  </si>
  <si>
    <t>Estudios topográficos: Ejecución de levantamientos topográficos y planos georreferenciados para un área de hasta 500 m².</t>
  </si>
  <si>
    <t>Memoria de cálculo estructural: Presentación de cálculos detallados para cimentaciones, columnas, vigas y otros elementos estructurales.</t>
  </si>
  <si>
    <t>Informes de impacto ambiental: Elaboración de documentos que evalúan los efectos de una construcción sobre el medio ambiente, incluyendo medidas mitigadoras.</t>
  </si>
  <si>
    <t>Supervisión técnica certificada: Contratación de profesionales acreditados para supervisar la ejecución de obras y garantizar la calidad según estándares.</t>
  </si>
  <si>
    <t>Limpieza Final de Obra</t>
  </si>
  <si>
    <t>Limpieza de áreas interiores: Barrido, aspirado y limpieza húmeda de pisos, paredes y techos en un área de 150 m² para eliminar polvo y residuos de obra.</t>
  </si>
  <si>
    <t>Limpieza de ventanas y vidrios: Lavado y pulido de 50 m² de ventanas y superficies de vidrio, utilizando productos especializados para eliminar manchas de pintura o adhesivos.</t>
  </si>
  <si>
    <t>Retiro de escombros: Recolección y disposición final de hasta 3 m³ de escombros y materiales sobrantes en áreas interiores y exteriores.</t>
  </si>
  <si>
    <t>Limpieza de sanitarios: Desinfección y pulido de inodoros, lavamanos y duchas en un total de 5 baños, asegurando su funcionalidad y apariencia.</t>
  </si>
  <si>
    <t>Limpieza de áreas exteriores: Barrido y lavado a presión de 200 m² de patios, terrazas o estacionamientos para eliminar residuos y manchas.</t>
  </si>
  <si>
    <t>Limpieza de ductos y rejillas: Remoción de polvo y residuos en 20 m lineales de ductos de ventilación o aire acondicionado.</t>
  </si>
  <si>
    <t>Pulido de pisos: Aplicación de productos específicos para el pulido de 100 m² de pisos de mármol, granito o concreto, dejando un acabado brillante.</t>
  </si>
  <si>
    <t>Eliminación de etiquetas y residuos adhesivos: Retiro de etiquetas de ventanas, electrodomésticos o mobiliario instalado durante la obra.</t>
  </si>
  <si>
    <t>Limpieza de luminarias: Desempolvado y limpieza de 30 luminarias, garantizando su correcto funcionamiento y apariencia.</t>
  </si>
  <si>
    <t>Inspección y retoques: Supervisión final para identificar áreas que requieran limpieza adicional o retoques antes de la entrega al cliente.</t>
  </si>
  <si>
    <t>Excavación de Cisternas y Pozos Sépticos</t>
  </si>
  <si>
    <t>Excavación de cisternas: Realización de excavaciones para cisternas con dimensiones de 3x3x2.5 m, removiendo y disponiendo de hasta 22.5 m³ de tierra.</t>
  </si>
  <si>
    <t>Excavación de pozos sépticos: Apertura de pozos sépticos circulares de 2 m de diámetro y 4 m de profundidad, eliminando aproximadamente 12.5 m³ de material.</t>
  </si>
  <si>
    <t>Excavación manual en áreas de difícil acceso: Excavación de hasta 10 m³ en terrenos donde no es posible el uso de maquinaria, empleando herramientas manuales.</t>
  </si>
  <si>
    <t>Transporte de material excavado: Retiro y disposición final de materiales excavados, con un volumen estimado de 30 m³ por proyecto.</t>
  </si>
  <si>
    <t>Compactación del terreno alrededor de cisternas: Compactación del material rellenado alrededor de cisternas y pozos, alcanzando un 95% de densidad Proctor en capas de 20 cm.</t>
  </si>
  <si>
    <t>Construcción de paredes de pozos: Construcción de paredes de ladrillo o concreto prefabricado para pozos sépticos con un diámetro de 1.5 m y una altura de 3 m.</t>
  </si>
  <si>
    <t>Impermeabilización de cisternas: Aplicación de recubrimientos impermeables en cisternas de concreto con un área de 20 m², garantizando estanqueidad.</t>
  </si>
  <si>
    <t>Instalación de tapas y accesos: Colocación de tapas de concreto armado de 1.2 m de diámetro para cisternas y pozos, con anclajes y manijas metálicas.</t>
  </si>
  <si>
    <t>Drenaje y desvío de agua: Implementación de drenajes temporales para evitar acumulación de agua durante el proceso de excavación.</t>
  </si>
  <si>
    <t>Supervisión y pruebas de estanqueidad: Inspección final de cisternas y pozos, asegurando que no haya filtraciones o problemas estructurales antes de su uso.</t>
  </si>
  <si>
    <t>Otros Servicios Especiales</t>
  </si>
  <si>
    <t>Instalación de ascensores: Montaje de un ascensor hidráulico o eléctrico en edificios de hasta 5 niveles, incluyendo estructura de soporte y sistemas de seguridad.</t>
  </si>
  <si>
    <t>Sistemas de aislamiento acústico: Implementación de paneles y revestimientos acústicos en 100 m² de paredes o techos para reducción de ruido.</t>
  </si>
  <si>
    <t>Sistemas de aislamiento térmico: Instalación de sistemas de aislamiento térmico en techos y paredes, cubriendo 120 m², con materiales como lana de roca o poliuretano.</t>
  </si>
  <si>
    <t>Sistemas contra vibraciones: Montaje de sistemas antivibratorios en áreas industriales, incluyendo la colocación de 10 soportes de caucho o neopreno.</t>
  </si>
  <si>
    <t>Puertas y cortinas cortafuego: Instalación de 5 puertas cortafuego certificadas y cortinas metálicas con resistencia de 90 minutos.</t>
  </si>
  <si>
    <t>Cámaras frigoríficas: Diseño y construcción de una cámara frigorífica de 30 m³, con paneles aislantes y sistemas de refrigeración de 5 HP.</t>
  </si>
  <si>
    <t>Tratamiento de aguas residuales: Instalación de sistemas compactos para tratamiento de aguas residuales, con capacidad para procesar 2,000 litros diarios.</t>
  </si>
  <si>
    <t>Montaje de estructuras metálicas: Construcción e instalación de estructuras metálicas especiales para soporte de equipos industriales, con una capacidad de carga de 10 toneladas.</t>
  </si>
  <si>
    <t>Instalación de pisos técnicos: Colocación de 50 m² de pisos técnicos elevados para salas de servidores, con paneles modulares y accesibilidad al cableado.</t>
  </si>
  <si>
    <t>Sistemas de protección solar: Instalación de 30 m² de paneles o persianas automatizadas para reducir la incidencia solar en ventanas o fachadas.</t>
  </si>
  <si>
    <t>Sistemas de control de humedad: Implementación de sistemas deshumidificadores en áreas de 100 m², con sensores automáticos de regulación.</t>
  </si>
  <si>
    <t>Servicios de demolición especializada: Demolición controlada de elementos estructurales en áreas urbanas, utilizando equipos hidráulicos y de precisión.</t>
  </si>
  <si>
    <t>m3</t>
  </si>
  <si>
    <t>un</t>
  </si>
  <si>
    <t>m2</t>
  </si>
  <si>
    <t>m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</si>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</sst>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4"/>
      <color theme="0"/>
      <name val="Arial Narrow"/>
      <family val="2"/>
    </font>
    <font>
      <b/>
      <sz val="11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theme="1" tint="0.499984740745262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164" fontId="1" fillId="3" borderId="10" xfId="0" applyNumberFormat="1" applyFont="1" applyFill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left" vertical="center"/>
    </xf>
    <xf numFmtId="164" fontId="1" fillId="0" borderId="9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indent="4"/>
    </xf>
    <xf numFmtId="0" fontId="1" fillId="0" borderId="3" xfId="0" applyFont="1" applyBorder="1" applyAlignment="1">
      <alignment horizontal="left" indent="4"/>
    </xf>
    <xf numFmtId="0" fontId="1" fillId="0" borderId="8" xfId="0" applyFont="1" applyBorder="1" applyAlignment="1">
      <alignment horizontal="left" indent="4"/>
    </xf>
    <xf numFmtId="0" fontId="1" fillId="0" borderId="9" xfId="0" applyFont="1" applyBorder="1" applyAlignment="1">
      <alignment horizontal="left" indent="4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indent="2"/>
    </xf>
    <xf numFmtId="0" fontId="4" fillId="2" borderId="2" xfId="0" applyFont="1" applyFill="1" applyBorder="1" applyAlignment="1">
      <alignment horizontal="left" indent="2"/>
    </xf>
    <xf numFmtId="0" fontId="1" fillId="0" borderId="4" xfId="0" applyFont="1" applyBorder="1" applyAlignment="1">
      <alignment horizontal="left" indent="4"/>
    </xf>
    <xf numFmtId="0" fontId="1" fillId="0" borderId="5" xfId="0" applyFont="1" applyBorder="1" applyAlignment="1">
      <alignment horizontal="left" indent="4"/>
    </xf>
    <xf numFmtId="0" fontId="1" fillId="0" borderId="6" xfId="0" applyFont="1" applyBorder="1" applyAlignment="1">
      <alignment horizontal="left" indent="4"/>
    </xf>
    <xf numFmtId="0" fontId="1" fillId="0" borderId="7" xfId="0" applyFont="1" applyBorder="1" applyAlignment="1">
      <alignment horizontal="left" indent="4"/>
    </xf>
    <xf numFmtId="0" fontId="1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left" vertical="center"/>
    </xf>
    <xf numFmtId="2" fontId="1" fillId="0" borderId="8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indent="4"/>
    </xf>
    <xf numFmtId="0" fontId="1" fillId="0" borderId="10" xfId="0" applyFont="1" applyBorder="1" applyAlignment="1">
      <alignment horizontal="left" vertical="center" indent="4"/>
    </xf>
    <xf numFmtId="0" fontId="1" fillId="0" borderId="5" xfId="0" applyFont="1" applyBorder="1" applyAlignment="1">
      <alignment horizontal="left" vertical="center" indent="4"/>
    </xf>
    <xf numFmtId="0" fontId="1" fillId="0" borderId="6" xfId="0" applyFont="1" applyBorder="1" applyAlignment="1">
      <alignment horizontal="left" vertical="center" indent="4"/>
    </xf>
    <xf numFmtId="0" fontId="1" fillId="0" borderId="0" xfId="0" applyFont="1" applyBorder="1" applyAlignment="1">
      <alignment horizontal="left" vertical="center" indent="4"/>
    </xf>
    <xf numFmtId="0" fontId="1" fillId="0" borderId="7" xfId="0" applyFont="1" applyBorder="1" applyAlignment="1">
      <alignment horizontal="left" vertical="center" indent="4"/>
    </xf>
    <xf numFmtId="0" fontId="1" fillId="0" borderId="8" xfId="0" applyFont="1" applyBorder="1" applyAlignment="1">
      <alignment horizontal="left" vertical="center" indent="4"/>
    </xf>
    <xf numFmtId="0" fontId="1" fillId="0" borderId="11" xfId="0" applyFont="1" applyBorder="1" applyAlignment="1">
      <alignment horizontal="left" vertical="center" indent="4"/>
    </xf>
    <xf numFmtId="0" fontId="1" fillId="0" borderId="9" xfId="0" applyFont="1" applyBorder="1" applyAlignment="1">
      <alignment horizontal="left" vertical="center" indent="4"/>
    </xf>
    <xf numFmtId="0" fontId="1" fillId="0" borderId="0" xfId="0" applyFont="1" applyAlignment="1">
      <alignment horizontal="left" vertical="center" indent="4"/>
    </xf>
    <xf numFmtId="164" fontId="1" fillId="0" borderId="0" xfId="0" applyNumberFormat="1" applyFont="1" applyAlignment="1">
      <alignment horizontal="left" vertical="center" indent="4"/>
    </xf>
    <xf numFmtId="0" fontId="1" fillId="0" borderId="1" xfId="0" applyFont="1" applyBorder="1" applyAlignment="1">
      <alignment horizontal="left" vertical="center" indent="4"/>
    </xf>
    <xf numFmtId="0" fontId="1" fillId="0" borderId="2" xfId="0" applyFont="1" applyBorder="1" applyAlignment="1">
      <alignment horizontal="left" vertical="center" indent="4"/>
    </xf>
    <xf numFmtId="0" fontId="1" fillId="0" borderId="3" xfId="0" applyFont="1" applyBorder="1" applyAlignment="1">
      <alignment horizontal="left" vertical="center" indent="4"/>
    </xf>
    <xf numFmtId="0" fontId="4" fillId="2" borderId="2" xfId="0" applyFont="1" applyFill="1" applyBorder="1" applyAlignment="1">
      <alignment horizontal="left" vertical="center" indent="2"/>
    </xf>
    <xf numFmtId="0" fontId="4" fillId="2" borderId="3" xfId="0" applyFont="1" applyFill="1" applyBorder="1" applyAlignment="1">
      <alignment horizontal="left" vertical="center" indent="2"/>
    </xf>
    <xf numFmtId="0" fontId="1" fillId="0" borderId="0" xfId="0" applyFont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3" borderId="10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164" fontId="2" fillId="3" borderId="5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microsoft.com/office/2007/relationships/hdphoto" Target="../media/hdphoto3.wdp"/><Relationship Id="rId3" Type="http://schemas.openxmlformats.org/officeDocument/2006/relationships/image" Target="../media/image3.png"/><Relationship Id="rId7" Type="http://schemas.openxmlformats.org/officeDocument/2006/relationships/hyperlink" Target="https://www.facebook.com/profile.php?id=61553790804384" TargetMode="External"/><Relationship Id="rId12" Type="http://schemas.openxmlformats.org/officeDocument/2006/relationships/image" Target="../media/image7.png"/><Relationship Id="rId2" Type="http://schemas.microsoft.com/office/2007/relationships/hdphoto" Target="../media/hdphoto1.wdp"/><Relationship Id="rId1" Type="http://schemas.openxmlformats.org/officeDocument/2006/relationships/image" Target="../media/image2.png"/><Relationship Id="rId6" Type="http://schemas.openxmlformats.org/officeDocument/2006/relationships/image" Target="../media/image4.png"/><Relationship Id="rId11" Type="http://schemas.openxmlformats.org/officeDocument/2006/relationships/hyperlink" Target="https://www.tiktok.com/@plugcad" TargetMode="External"/><Relationship Id="rId5" Type="http://schemas.openxmlformats.org/officeDocument/2006/relationships/hyperlink" Target="https://www.instagram.com/plugcad/" TargetMode="External"/><Relationship Id="rId10" Type="http://schemas.openxmlformats.org/officeDocument/2006/relationships/image" Target="../media/image6.png"/><Relationship Id="rId4" Type="http://schemas.microsoft.com/office/2007/relationships/hdphoto" Target="../media/hdphoto2.wdp"/><Relationship Id="rId9" Type="http://schemas.openxmlformats.org/officeDocument/2006/relationships/hyperlink" Target="https://www.youtube.com/@PlugCAD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485280</xdr:colOff>
      <xdr:row>4</xdr:row>
      <xdr:rowOff>172860</xdr:rowOff>
    </xdr:from>
    <xdr:to>
      <xdr:col>6</xdr:col>
      <xdr:colOff>852266</xdr:colOff>
      <xdr:row>6</xdr:row>
      <xdr:rowOff>129540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7A93F2-0274-43DC-9A79-D13BE111C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46300" y="950100"/>
          <a:ext cx="1380446" cy="3224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5714</xdr:rowOff>
    </xdr:from>
    <xdr:to>
      <xdr:col>30</xdr:col>
      <xdr:colOff>114300</xdr:colOff>
      <xdr:row>5</xdr:row>
      <xdr:rowOff>83819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CDED43C4-8394-4660-909E-030498734B39}"/>
            </a:ext>
          </a:extLst>
        </xdr:cNvPr>
        <xdr:cNvSpPr>
          <a:spLocks/>
        </xdr:cNvSpPr>
      </xdr:nvSpPr>
      <xdr:spPr>
        <a:xfrm>
          <a:off x="0" y="5714"/>
          <a:ext cx="23888700" cy="992505"/>
        </a:xfrm>
        <a:prstGeom prst="rect">
          <a:avLst/>
        </a:prstGeom>
        <a:solidFill>
          <a:srgbClr val="263240"/>
        </a:solidFill>
        <a:ln w="635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 anchorCtr="0"/>
        <a:lstStyle>
          <a:defPPr>
            <a:defRPr lang="es-SV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s-SV">
            <a:solidFill>
              <a:schemeClr val="tx1">
                <a:lumMod val="50000"/>
                <a:lumOff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oneCell">
    <xdr:from>
      <xdr:col>0</xdr:col>
      <xdr:colOff>111760</xdr:colOff>
      <xdr:row>0</xdr:row>
      <xdr:rowOff>0</xdr:rowOff>
    </xdr:from>
    <xdr:to>
      <xdr:col>3</xdr:col>
      <xdr:colOff>365760</xdr:colOff>
      <xdr:row>5</xdr:row>
      <xdr:rowOff>72390</xdr:rowOff>
    </xdr:to>
    <xdr:pic>
      <xdr:nvPicPr>
        <xdr:cNvPr id="3" name="Imagen 2" descr="Logotipo&#10;&#10;Descripción generada automáticamente">
          <a:extLst>
            <a:ext uri="{FF2B5EF4-FFF2-40B4-BE49-F238E27FC236}">
              <a16:creationId xmlns:a16="http://schemas.microsoft.com/office/drawing/2014/main" id="{9BEB729F-69DF-4DC5-AFAD-CE76CD8FA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26250" y1="51455" x2="26250" y2="51455"/>
                      <a14:foregroundMark x1="30250" y1="52788" x2="30250" y2="52788"/>
                      <a14:foregroundMark x1="34409" y1="58364" x2="34409" y2="58364"/>
                      <a14:foregroundMark x1="48750" y1="58364" x2="48750" y2="58364"/>
                      <a14:foregroundMark x1="73841" y1="56970" x2="73841" y2="56970"/>
                      <a14:foregroundMark x1="84500" y1="52121" x2="84500" y2="52121"/>
                      <a14:backgroundMark x1="7091" y1="20788" x2="77432" y2="16545"/>
                      <a14:backgroundMark x1="77432" y1="16545" x2="89955" y2="20909"/>
                      <a14:backgroundMark x1="89955" y1="20909" x2="94500" y2="53152"/>
                      <a14:backgroundMark x1="94500" y1="53152" x2="86318" y2="78424"/>
                      <a14:backgroundMark x1="86318" y1="78424" x2="25523" y2="87879"/>
                      <a14:backgroundMark x1="25523" y1="87879" x2="12205" y2="76000"/>
                      <a14:backgroundMark x1="12205" y1="76000" x2="7000" y2="26545"/>
                      <a14:backgroundMark x1="7000" y1="26545" x2="7000" y2="2503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60" y="0"/>
          <a:ext cx="2631440" cy="986790"/>
        </a:xfrm>
        <a:prstGeom prst="rect">
          <a:avLst/>
        </a:prstGeom>
      </xdr:spPr>
    </xdr:pic>
    <xdr:clientData/>
  </xdr:twoCellAnchor>
  <xdr:twoCellAnchor>
    <xdr:from>
      <xdr:col>0</xdr:col>
      <xdr:colOff>567324</xdr:colOff>
      <xdr:row>7</xdr:row>
      <xdr:rowOff>90888</xdr:rowOff>
    </xdr:from>
    <xdr:to>
      <xdr:col>7</xdr:col>
      <xdr:colOff>65141</xdr:colOff>
      <xdr:row>23</xdr:row>
      <xdr:rowOff>137160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1ACC4134-8AAA-417D-A4DE-DF73B4C0516D}"/>
            </a:ext>
          </a:extLst>
        </xdr:cNvPr>
        <xdr:cNvSpPr/>
      </xdr:nvSpPr>
      <xdr:spPr>
        <a:xfrm>
          <a:off x="567324" y="1371048"/>
          <a:ext cx="5045177" cy="2972352"/>
        </a:xfrm>
        <a:prstGeom prst="rect">
          <a:avLst/>
        </a:prstGeom>
        <a:solidFill>
          <a:srgbClr val="F0F0F0"/>
        </a:solidFill>
        <a:ln w="635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216000" tIns="216000" rIns="216000" bIns="216000" rtlCol="0" anchor="t" anchorCtr="0"/>
        <a:lstStyle>
          <a:defPPr>
            <a:defRPr lang="es-SV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just"/>
          <a:r>
            <a:rPr lang="es-SV" sz="90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PlugCAD: </a:t>
          </a:r>
          <a:r>
            <a:rPr lang="es-SV" sz="900">
              <a:solidFill>
                <a:schemeClr val="tx1">
                  <a:lumMod val="50000"/>
                  <a:lumOff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Es una empresa de software dedicada al desarrollo de herramientas intuitivas y organizadas para la industria de la construcción. Fundada en el año 2022 por el ingeniero civil Fredy Sorto.</a:t>
          </a:r>
        </a:p>
      </xdr:txBody>
    </xdr:sp>
    <xdr:clientData/>
  </xdr:twoCellAnchor>
  <xdr:twoCellAnchor>
    <xdr:from>
      <xdr:col>1</xdr:col>
      <xdr:colOff>45720</xdr:colOff>
      <xdr:row>16</xdr:row>
      <xdr:rowOff>79165</xdr:rowOff>
    </xdr:from>
    <xdr:to>
      <xdr:col>3</xdr:col>
      <xdr:colOff>359436</xdr:colOff>
      <xdr:row>18</xdr:row>
      <xdr:rowOff>80753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A1C286E7-8A48-4D26-8AD6-B0B371BB0D3B}"/>
            </a:ext>
          </a:extLst>
        </xdr:cNvPr>
        <xdr:cNvSpPr>
          <a:spLocks/>
        </xdr:cNvSpPr>
      </xdr:nvSpPr>
      <xdr:spPr>
        <a:xfrm>
          <a:off x="838200" y="3005245"/>
          <a:ext cx="1898676" cy="367348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 anchorCtr="0"/>
        <a:lstStyle>
          <a:defPPr>
            <a:defRPr lang="es-SV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SV" sz="90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Softwares para la Ingeniería</a:t>
          </a:r>
          <a:endParaRPr lang="es-SV" sz="900">
            <a:solidFill>
              <a:schemeClr val="bg1">
                <a:lumMod val="75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oneCell">
    <xdr:from>
      <xdr:col>1</xdr:col>
      <xdr:colOff>45720</xdr:colOff>
      <xdr:row>15</xdr:row>
      <xdr:rowOff>45720</xdr:rowOff>
    </xdr:from>
    <xdr:to>
      <xdr:col>2</xdr:col>
      <xdr:colOff>247676</xdr:colOff>
      <xdr:row>16</xdr:row>
      <xdr:rowOff>84130</xdr:rowOff>
    </xdr:to>
    <xdr:pic>
      <xdr:nvPicPr>
        <xdr:cNvPr id="6" name="Imagen 5" descr="Logotipo&#10;&#10;Descripción generada automáticamente">
          <a:extLst>
            <a:ext uri="{FF2B5EF4-FFF2-40B4-BE49-F238E27FC236}">
              <a16:creationId xmlns:a16="http://schemas.microsoft.com/office/drawing/2014/main" id="{0060A01C-5DEE-41F1-A5E9-71EB7F7768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43394" b="60788" l="34114" r="69159">
                      <a14:foregroundMark x1="34136" y1="52970" x2="34136" y2="52970"/>
                      <a14:foregroundMark x1="38864" y1="51152" x2="38864" y2="51152"/>
                      <a14:foregroundMark x1="41114" y1="51273" x2="41114" y2="51273"/>
                      <a14:foregroundMark x1="45659" y1="50970" x2="45659" y2="50970"/>
                      <a14:foregroundMark x1="62864" y1="51455" x2="62864" y2="51455"/>
                      <a14:foregroundMark x1="68795" y1="48303" x2="68795" y2="48303"/>
                      <a14:foregroundMark x1="69159" y1="49818" x2="69159" y2="4981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3244" t="41263" r="29876" b="36853"/>
        <a:stretch/>
      </xdr:blipFill>
      <xdr:spPr>
        <a:xfrm>
          <a:off x="838200" y="2788920"/>
          <a:ext cx="994436" cy="22129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18</xdr:row>
      <xdr:rowOff>158939</xdr:rowOff>
    </xdr:from>
    <xdr:to>
      <xdr:col>1</xdr:col>
      <xdr:colOff>317956</xdr:colOff>
      <xdr:row>20</xdr:row>
      <xdr:rowOff>65415</xdr:rowOff>
    </xdr:to>
    <xdr:pic>
      <xdr:nvPicPr>
        <xdr:cNvPr id="7" name="Imagen 6" descr="Forma&#10;&#10;Descripción generada automáticamente con confianza baja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EED4AF3-E6EA-402C-8A8A-3FAAEDF9A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8200" y="3450779"/>
          <a:ext cx="272236" cy="272236"/>
        </a:xfrm>
        <a:prstGeom prst="rect">
          <a:avLst/>
        </a:prstGeom>
      </xdr:spPr>
    </xdr:pic>
    <xdr:clientData/>
  </xdr:twoCellAnchor>
  <xdr:twoCellAnchor editAs="oneCell">
    <xdr:from>
      <xdr:col>1</xdr:col>
      <xdr:colOff>489073</xdr:colOff>
      <xdr:row>18</xdr:row>
      <xdr:rowOff>158939</xdr:rowOff>
    </xdr:from>
    <xdr:to>
      <xdr:col>1</xdr:col>
      <xdr:colOff>761309</xdr:colOff>
      <xdr:row>20</xdr:row>
      <xdr:rowOff>65415</xdr:rowOff>
    </xdr:to>
    <xdr:pic>
      <xdr:nvPicPr>
        <xdr:cNvPr id="8" name="Imagen 7" descr="Forma&#10;&#10;Descripción generada automáticamente con confianza baja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E7F32B1-1FBA-49A4-B82F-479C54EFF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81553" y="3450779"/>
          <a:ext cx="272236" cy="272236"/>
        </a:xfrm>
        <a:prstGeom prst="rect">
          <a:avLst/>
        </a:prstGeom>
      </xdr:spPr>
    </xdr:pic>
    <xdr:clientData/>
  </xdr:twoCellAnchor>
  <xdr:twoCellAnchor editAs="oneCell">
    <xdr:from>
      <xdr:col>2</xdr:col>
      <xdr:colOff>139946</xdr:colOff>
      <xdr:row>18</xdr:row>
      <xdr:rowOff>158503</xdr:rowOff>
    </xdr:from>
    <xdr:to>
      <xdr:col>2</xdr:col>
      <xdr:colOff>412182</xdr:colOff>
      <xdr:row>20</xdr:row>
      <xdr:rowOff>64979</xdr:rowOff>
    </xdr:to>
    <xdr:pic>
      <xdr:nvPicPr>
        <xdr:cNvPr id="9" name="Imagen 8" descr="Forma&#10;&#10;Descripción generada automáticamente con confianza baja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8E2A846-5FD3-4B28-AB65-17569036C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906" y="3450343"/>
          <a:ext cx="272236" cy="272236"/>
        </a:xfrm>
        <a:prstGeom prst="rect">
          <a:avLst/>
        </a:prstGeom>
      </xdr:spPr>
    </xdr:pic>
    <xdr:clientData/>
  </xdr:twoCellAnchor>
  <xdr:twoCellAnchor editAs="oneCell">
    <xdr:from>
      <xdr:col>2</xdr:col>
      <xdr:colOff>568351</xdr:colOff>
      <xdr:row>18</xdr:row>
      <xdr:rowOff>178348</xdr:rowOff>
    </xdr:from>
    <xdr:to>
      <xdr:col>3</xdr:col>
      <xdr:colOff>41157</xdr:colOff>
      <xdr:row>20</xdr:row>
      <xdr:rowOff>53992</xdr:rowOff>
    </xdr:to>
    <xdr:pic>
      <xdr:nvPicPr>
        <xdr:cNvPr id="10" name="Picture 2" descr="vector de logotipo de tiktok negro, símbolo de tiktok, vector libre de icono  de tiktok 18757825 Vector en Vecteezy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04C77B3-CA5A-4DC5-AD60-6C51318B73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3553" t="19306" r="16072" b="16655"/>
        <a:stretch/>
      </xdr:blipFill>
      <xdr:spPr bwMode="auto">
        <a:xfrm>
          <a:off x="2153311" y="3470188"/>
          <a:ext cx="265286" cy="2414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755F5-C20B-4CFD-BADE-CF2706AB8DD6}">
  <sheetPr>
    <tabColor theme="2" tint="-0.499984740745262"/>
    <pageSetUpPr fitToPage="1"/>
  </sheetPr>
  <dimension ref="B2:I368"/>
  <sheetViews>
    <sheetView showGridLines="0" showRowColHeaders="0" tabSelected="1" workbookViewId="0">
      <selection activeCell="E15" sqref="E15"/>
    </sheetView>
  </sheetViews>
  <sheetFormatPr baseColWidth="10" defaultRowHeight="13.8" x14ac:dyDescent="0.25"/>
  <cols>
    <col min="1" max="1" width="4.109375" style="2" customWidth="1"/>
    <col min="2" max="2" width="5.109375" style="3" customWidth="1"/>
    <col min="3" max="3" width="84.88671875" style="52" customWidth="1"/>
    <col min="4" max="4" width="10.109375" style="3" customWidth="1"/>
    <col min="5" max="5" width="14.77734375" style="3" customWidth="1"/>
    <col min="6" max="6" width="14.77734375" style="6" customWidth="1"/>
    <col min="7" max="7" width="16.77734375" style="6" customWidth="1"/>
    <col min="8" max="16384" width="11.5546875" style="2"/>
  </cols>
  <sheetData>
    <row r="2" spans="2:9" ht="29.4" customHeight="1" x14ac:dyDescent="0.25">
      <c r="B2" s="23" t="s">
        <v>6</v>
      </c>
      <c r="C2" s="24"/>
      <c r="D2" s="24"/>
      <c r="E2" s="24"/>
      <c r="F2" s="24"/>
      <c r="G2" s="25"/>
      <c r="I2" s="3"/>
    </row>
    <row r="3" spans="2:9" ht="4.5" customHeight="1" x14ac:dyDescent="0.25"/>
    <row r="4" spans="2:9" x14ac:dyDescent="0.25">
      <c r="B4" s="26" t="s">
        <v>7</v>
      </c>
      <c r="C4" s="27"/>
      <c r="D4" s="50" t="s">
        <v>8</v>
      </c>
      <c r="E4" s="50"/>
      <c r="F4" s="50"/>
      <c r="G4" s="51"/>
    </row>
    <row r="5" spans="2:9" ht="14.4" customHeight="1" x14ac:dyDescent="0.25">
      <c r="B5" s="28" t="s">
        <v>9</v>
      </c>
      <c r="C5" s="29"/>
      <c r="D5" s="36" t="s">
        <v>9</v>
      </c>
      <c r="E5" s="37"/>
      <c r="F5" s="37"/>
      <c r="G5" s="38"/>
    </row>
    <row r="6" spans="2:9" ht="14.4" customHeight="1" x14ac:dyDescent="0.25">
      <c r="B6" s="30" t="s">
        <v>10</v>
      </c>
      <c r="C6" s="31"/>
      <c r="D6" s="39" t="s">
        <v>14</v>
      </c>
      <c r="E6" s="40"/>
      <c r="F6" s="40"/>
      <c r="G6" s="41"/>
    </row>
    <row r="7" spans="2:9" ht="14.4" customHeight="1" x14ac:dyDescent="0.25">
      <c r="B7" s="30" t="s">
        <v>11</v>
      </c>
      <c r="C7" s="31"/>
      <c r="D7" s="39" t="s">
        <v>15</v>
      </c>
      <c r="E7" s="40"/>
      <c r="F7" s="40"/>
      <c r="G7" s="41"/>
    </row>
    <row r="8" spans="2:9" ht="14.4" customHeight="1" x14ac:dyDescent="0.25">
      <c r="B8" s="21" t="s">
        <v>12</v>
      </c>
      <c r="C8" s="22"/>
      <c r="D8" s="42"/>
      <c r="E8" s="43"/>
      <c r="F8" s="43"/>
      <c r="G8" s="44"/>
    </row>
    <row r="9" spans="2:9" ht="4.5" customHeight="1" x14ac:dyDescent="0.25">
      <c r="B9" s="4"/>
      <c r="D9" s="45"/>
      <c r="E9" s="45"/>
      <c r="F9" s="46"/>
      <c r="G9" s="46"/>
    </row>
    <row r="10" spans="2:9" ht="14.4" customHeight="1" x14ac:dyDescent="0.25">
      <c r="B10" s="19" t="s">
        <v>13</v>
      </c>
      <c r="C10" s="20"/>
      <c r="D10" s="47" t="s">
        <v>16</v>
      </c>
      <c r="E10" s="48"/>
      <c r="F10" s="48"/>
      <c r="G10" s="49"/>
    </row>
    <row r="11" spans="2:9" ht="4.5" customHeight="1" x14ac:dyDescent="0.25"/>
    <row r="12" spans="2:9" x14ac:dyDescent="0.25">
      <c r="B12" s="5" t="s">
        <v>0</v>
      </c>
      <c r="C12" s="53" t="s">
        <v>1</v>
      </c>
      <c r="D12" s="7" t="s">
        <v>2</v>
      </c>
      <c r="E12" s="7" t="s">
        <v>3</v>
      </c>
      <c r="F12" s="8" t="s">
        <v>4</v>
      </c>
      <c r="G12" s="9" t="s">
        <v>5</v>
      </c>
    </row>
    <row r="13" spans="2:9" customFormat="1" ht="4.5" customHeight="1" x14ac:dyDescent="0.3">
      <c r="B13" s="1"/>
      <c r="C13" s="54"/>
      <c r="D13" s="1"/>
      <c r="E13" s="1"/>
      <c r="F13" s="1"/>
      <c r="G13" s="1"/>
    </row>
    <row r="14" spans="2:9" x14ac:dyDescent="0.25">
      <c r="B14" s="10">
        <v>1</v>
      </c>
      <c r="C14" s="55" t="s">
        <v>17</v>
      </c>
      <c r="D14" s="11"/>
      <c r="E14" s="11"/>
      <c r="F14" s="12"/>
      <c r="G14" s="58">
        <f>SUM(G15:G23)</f>
        <v>9</v>
      </c>
    </row>
    <row r="15" spans="2:9" ht="27.6" x14ac:dyDescent="0.25">
      <c r="B15" s="13">
        <v>1.1000000000000001</v>
      </c>
      <c r="C15" s="56" t="s">
        <v>18</v>
      </c>
      <c r="D15" s="32" t="s">
        <v>343</v>
      </c>
      <c r="E15" s="32">
        <v>1</v>
      </c>
      <c r="F15" s="33">
        <v>1</v>
      </c>
      <c r="G15" s="14">
        <f>E15*F15</f>
        <v>1</v>
      </c>
    </row>
    <row r="16" spans="2:9" ht="27.6" x14ac:dyDescent="0.25">
      <c r="B16" s="13">
        <v>1.2</v>
      </c>
      <c r="C16" s="56" t="s">
        <v>19</v>
      </c>
      <c r="D16" s="32" t="s">
        <v>344</v>
      </c>
      <c r="E16" s="32">
        <v>1</v>
      </c>
      <c r="F16" s="33">
        <v>1</v>
      </c>
      <c r="G16" s="14">
        <f t="shared" ref="G16:G23" si="0">E16*F16</f>
        <v>1</v>
      </c>
    </row>
    <row r="17" spans="2:7" ht="27.6" x14ac:dyDescent="0.25">
      <c r="B17" s="13">
        <v>1.3</v>
      </c>
      <c r="C17" s="56" t="s">
        <v>20</v>
      </c>
      <c r="D17" s="32" t="s">
        <v>345</v>
      </c>
      <c r="E17" s="32">
        <v>1</v>
      </c>
      <c r="F17" s="33">
        <v>1</v>
      </c>
      <c r="G17" s="14">
        <f t="shared" si="0"/>
        <v>1</v>
      </c>
    </row>
    <row r="18" spans="2:7" ht="27.6" x14ac:dyDescent="0.25">
      <c r="B18" s="13">
        <v>1.4</v>
      </c>
      <c r="C18" s="56" t="s">
        <v>21</v>
      </c>
      <c r="D18" s="32" t="s">
        <v>346</v>
      </c>
      <c r="E18" s="32">
        <v>1</v>
      </c>
      <c r="F18" s="33">
        <v>1</v>
      </c>
      <c r="G18" s="14">
        <f t="shared" si="0"/>
        <v>1</v>
      </c>
    </row>
    <row r="19" spans="2:7" ht="27.6" x14ac:dyDescent="0.25">
      <c r="B19" s="13">
        <v>1.5</v>
      </c>
      <c r="C19" s="56" t="s">
        <v>22</v>
      </c>
      <c r="D19" s="32" t="s">
        <v>345</v>
      </c>
      <c r="E19" s="32">
        <v>1</v>
      </c>
      <c r="F19" s="33">
        <v>1</v>
      </c>
      <c r="G19" s="14">
        <f t="shared" si="0"/>
        <v>1</v>
      </c>
    </row>
    <row r="20" spans="2:7" x14ac:dyDescent="0.25">
      <c r="B20" s="13">
        <v>1.6</v>
      </c>
      <c r="C20" s="56" t="s">
        <v>23</v>
      </c>
      <c r="D20" s="32" t="s">
        <v>343</v>
      </c>
      <c r="E20" s="32">
        <v>1</v>
      </c>
      <c r="F20" s="33">
        <v>1</v>
      </c>
      <c r="G20" s="14">
        <f t="shared" si="0"/>
        <v>1</v>
      </c>
    </row>
    <row r="21" spans="2:7" ht="27.6" x14ac:dyDescent="0.25">
      <c r="B21" s="13">
        <v>1.7</v>
      </c>
      <c r="C21" s="56" t="s">
        <v>24</v>
      </c>
      <c r="D21" s="32" t="s">
        <v>344</v>
      </c>
      <c r="E21" s="32">
        <v>1</v>
      </c>
      <c r="F21" s="33">
        <v>1</v>
      </c>
      <c r="G21" s="14">
        <f t="shared" si="0"/>
        <v>1</v>
      </c>
    </row>
    <row r="22" spans="2:7" ht="27.6" x14ac:dyDescent="0.25">
      <c r="B22" s="13">
        <v>1.8</v>
      </c>
      <c r="C22" s="56" t="s">
        <v>25</v>
      </c>
      <c r="D22" s="32" t="s">
        <v>345</v>
      </c>
      <c r="E22" s="32">
        <v>1</v>
      </c>
      <c r="F22" s="33">
        <v>1</v>
      </c>
      <c r="G22" s="14">
        <f t="shared" si="0"/>
        <v>1</v>
      </c>
    </row>
    <row r="23" spans="2:7" ht="27.6" x14ac:dyDescent="0.25">
      <c r="B23" s="15">
        <v>1.9</v>
      </c>
      <c r="C23" s="57" t="s">
        <v>26</v>
      </c>
      <c r="D23" s="16" t="s">
        <v>345</v>
      </c>
      <c r="E23" s="16">
        <v>1</v>
      </c>
      <c r="F23" s="17">
        <v>1</v>
      </c>
      <c r="G23" s="18">
        <f t="shared" si="0"/>
        <v>1</v>
      </c>
    </row>
    <row r="25" spans="2:7" x14ac:dyDescent="0.25">
      <c r="B25" s="10">
        <v>2</v>
      </c>
      <c r="C25" s="55" t="s">
        <v>27</v>
      </c>
      <c r="D25" s="11"/>
      <c r="E25" s="11"/>
      <c r="F25" s="12"/>
      <c r="G25" s="58">
        <f>SUM(G26:G29)</f>
        <v>4</v>
      </c>
    </row>
    <row r="26" spans="2:7" ht="27.6" x14ac:dyDescent="0.25">
      <c r="B26" s="13">
        <v>2.1</v>
      </c>
      <c r="C26" s="56" t="s">
        <v>28</v>
      </c>
      <c r="D26" s="32" t="s">
        <v>343</v>
      </c>
      <c r="E26" s="32">
        <v>1</v>
      </c>
      <c r="F26" s="33">
        <v>1</v>
      </c>
      <c r="G26" s="14">
        <f>E26*F26</f>
        <v>1</v>
      </c>
    </row>
    <row r="27" spans="2:7" ht="27.6" x14ac:dyDescent="0.25">
      <c r="B27" s="13">
        <v>2.2000000000000002</v>
      </c>
      <c r="C27" s="56" t="s">
        <v>29</v>
      </c>
      <c r="D27" s="32" t="s">
        <v>343</v>
      </c>
      <c r="E27" s="32">
        <v>1</v>
      </c>
      <c r="F27" s="33">
        <v>1</v>
      </c>
      <c r="G27" s="14">
        <f t="shared" ref="G27:G29" si="1">E27*F27</f>
        <v>1</v>
      </c>
    </row>
    <row r="28" spans="2:7" ht="27.6" x14ac:dyDescent="0.25">
      <c r="B28" s="13">
        <v>2.2999999999999998</v>
      </c>
      <c r="C28" s="56" t="s">
        <v>30</v>
      </c>
      <c r="D28" s="32" t="s">
        <v>345</v>
      </c>
      <c r="E28" s="32">
        <v>1</v>
      </c>
      <c r="F28" s="33">
        <v>1</v>
      </c>
      <c r="G28" s="14">
        <f t="shared" si="1"/>
        <v>1</v>
      </c>
    </row>
    <row r="29" spans="2:7" ht="27.6" x14ac:dyDescent="0.25">
      <c r="B29" s="15">
        <v>2.4</v>
      </c>
      <c r="C29" s="57" t="s">
        <v>31</v>
      </c>
      <c r="D29" s="16" t="s">
        <v>346</v>
      </c>
      <c r="E29" s="16">
        <v>1</v>
      </c>
      <c r="F29" s="17">
        <v>1</v>
      </c>
      <c r="G29" s="18">
        <f t="shared" si="1"/>
        <v>1</v>
      </c>
    </row>
    <row r="31" spans="2:7" x14ac:dyDescent="0.25">
      <c r="B31" s="10">
        <v>3</v>
      </c>
      <c r="C31" s="55" t="s">
        <v>32</v>
      </c>
      <c r="D31" s="11"/>
      <c r="E31" s="11"/>
      <c r="F31" s="12"/>
      <c r="G31" s="58">
        <f>SUM(G32:G37)</f>
        <v>6</v>
      </c>
    </row>
    <row r="32" spans="2:7" ht="27.6" x14ac:dyDescent="0.25">
      <c r="B32" s="13">
        <v>3.1</v>
      </c>
      <c r="C32" s="56" t="s">
        <v>33</v>
      </c>
      <c r="D32" s="32" t="s">
        <v>345</v>
      </c>
      <c r="E32" s="32">
        <v>1</v>
      </c>
      <c r="F32" s="33">
        <v>1</v>
      </c>
      <c r="G32" s="14">
        <f>E32*F32</f>
        <v>1</v>
      </c>
    </row>
    <row r="33" spans="2:7" ht="27.6" x14ac:dyDescent="0.25">
      <c r="B33" s="13">
        <v>3.2</v>
      </c>
      <c r="C33" s="56" t="s">
        <v>34</v>
      </c>
      <c r="D33" s="32" t="s">
        <v>345</v>
      </c>
      <c r="E33" s="32">
        <v>1</v>
      </c>
      <c r="F33" s="33">
        <v>1</v>
      </c>
      <c r="G33" s="14">
        <f t="shared" ref="G33:G37" si="2">E33*F33</f>
        <v>1</v>
      </c>
    </row>
    <row r="34" spans="2:7" ht="27.6" x14ac:dyDescent="0.25">
      <c r="B34" s="13">
        <v>3.3</v>
      </c>
      <c r="C34" s="56" t="s">
        <v>35</v>
      </c>
      <c r="D34" s="32" t="s">
        <v>346</v>
      </c>
      <c r="E34" s="32">
        <v>1</v>
      </c>
      <c r="F34" s="33">
        <v>1</v>
      </c>
      <c r="G34" s="14">
        <f t="shared" si="2"/>
        <v>1</v>
      </c>
    </row>
    <row r="35" spans="2:7" ht="27.6" x14ac:dyDescent="0.25">
      <c r="B35" s="13">
        <v>3.4</v>
      </c>
      <c r="C35" s="56" t="s">
        <v>36</v>
      </c>
      <c r="D35" s="32" t="s">
        <v>345</v>
      </c>
      <c r="E35" s="32">
        <v>1</v>
      </c>
      <c r="F35" s="33">
        <v>1</v>
      </c>
      <c r="G35" s="14">
        <f t="shared" si="2"/>
        <v>1</v>
      </c>
    </row>
    <row r="36" spans="2:7" ht="27.6" x14ac:dyDescent="0.25">
      <c r="B36" s="13">
        <v>3.5</v>
      </c>
      <c r="C36" s="56" t="s">
        <v>37</v>
      </c>
      <c r="D36" s="32" t="s">
        <v>344</v>
      </c>
      <c r="E36" s="32">
        <v>1</v>
      </c>
      <c r="F36" s="33">
        <v>1</v>
      </c>
      <c r="G36" s="14">
        <f t="shared" si="2"/>
        <v>1</v>
      </c>
    </row>
    <row r="37" spans="2:7" ht="27.6" x14ac:dyDescent="0.25">
      <c r="B37" s="15">
        <v>3.6</v>
      </c>
      <c r="C37" s="57" t="s">
        <v>38</v>
      </c>
      <c r="D37" s="16" t="s">
        <v>344</v>
      </c>
      <c r="E37" s="16">
        <v>1</v>
      </c>
      <c r="F37" s="17">
        <v>1</v>
      </c>
      <c r="G37" s="18">
        <f t="shared" si="2"/>
        <v>1</v>
      </c>
    </row>
    <row r="39" spans="2:7" x14ac:dyDescent="0.25">
      <c r="B39" s="10">
        <v>4</v>
      </c>
      <c r="C39" s="55" t="s">
        <v>39</v>
      </c>
      <c r="D39" s="11"/>
      <c r="E39" s="11"/>
      <c r="F39" s="12"/>
      <c r="G39" s="58">
        <f>SUM(G40:G48)</f>
        <v>9</v>
      </c>
    </row>
    <row r="40" spans="2:7" ht="27.6" x14ac:dyDescent="0.25">
      <c r="B40" s="13">
        <v>4.0999999999999996</v>
      </c>
      <c r="C40" s="56" t="s">
        <v>40</v>
      </c>
      <c r="D40" s="32" t="s">
        <v>343</v>
      </c>
      <c r="E40" s="32">
        <v>1</v>
      </c>
      <c r="F40" s="33">
        <v>1</v>
      </c>
      <c r="G40" s="14">
        <f>E40*F40</f>
        <v>1</v>
      </c>
    </row>
    <row r="41" spans="2:7" ht="27.6" x14ac:dyDescent="0.25">
      <c r="B41" s="13">
        <v>4.2</v>
      </c>
      <c r="C41" s="56" t="s">
        <v>41</v>
      </c>
      <c r="D41" s="32" t="s">
        <v>343</v>
      </c>
      <c r="E41" s="32">
        <v>1</v>
      </c>
      <c r="F41" s="33">
        <v>1</v>
      </c>
      <c r="G41" s="14">
        <f t="shared" ref="G41:G48" si="3">E41*F41</f>
        <v>1</v>
      </c>
    </row>
    <row r="42" spans="2:7" ht="27.6" x14ac:dyDescent="0.25">
      <c r="B42" s="13">
        <v>4.3</v>
      </c>
      <c r="C42" s="56" t="s">
        <v>42</v>
      </c>
      <c r="D42" s="32" t="s">
        <v>343</v>
      </c>
      <c r="E42" s="32">
        <v>1</v>
      </c>
      <c r="F42" s="33">
        <v>1</v>
      </c>
      <c r="G42" s="14">
        <f t="shared" si="3"/>
        <v>1</v>
      </c>
    </row>
    <row r="43" spans="2:7" ht="27.6" x14ac:dyDescent="0.25">
      <c r="B43" s="13">
        <v>4.4000000000000004</v>
      </c>
      <c r="C43" s="56" t="s">
        <v>43</v>
      </c>
      <c r="D43" s="32" t="s">
        <v>343</v>
      </c>
      <c r="E43" s="32">
        <v>1</v>
      </c>
      <c r="F43" s="33">
        <v>1</v>
      </c>
      <c r="G43" s="14">
        <f t="shared" si="3"/>
        <v>1</v>
      </c>
    </row>
    <row r="44" spans="2:7" ht="27.6" x14ac:dyDescent="0.25">
      <c r="B44" s="13">
        <v>4.5</v>
      </c>
      <c r="C44" s="56" t="s">
        <v>44</v>
      </c>
      <c r="D44" s="32" t="s">
        <v>343</v>
      </c>
      <c r="E44" s="32">
        <v>1</v>
      </c>
      <c r="F44" s="33">
        <v>1</v>
      </c>
      <c r="G44" s="14">
        <f t="shared" si="3"/>
        <v>1</v>
      </c>
    </row>
    <row r="45" spans="2:7" ht="27.6" x14ac:dyDescent="0.25">
      <c r="B45" s="13">
        <v>4.5999999999999996</v>
      </c>
      <c r="C45" s="56" t="s">
        <v>45</v>
      </c>
      <c r="D45" s="32" t="s">
        <v>343</v>
      </c>
      <c r="E45" s="32">
        <v>1</v>
      </c>
      <c r="F45" s="33">
        <v>1</v>
      </c>
      <c r="G45" s="14">
        <f t="shared" si="3"/>
        <v>1</v>
      </c>
    </row>
    <row r="46" spans="2:7" ht="27.6" x14ac:dyDescent="0.25">
      <c r="B46" s="13">
        <v>4.7</v>
      </c>
      <c r="C46" s="56" t="s">
        <v>46</v>
      </c>
      <c r="D46" s="32" t="s">
        <v>343</v>
      </c>
      <c r="E46" s="32">
        <v>1</v>
      </c>
      <c r="F46" s="33">
        <v>1</v>
      </c>
      <c r="G46" s="14">
        <f t="shared" si="3"/>
        <v>1</v>
      </c>
    </row>
    <row r="47" spans="2:7" ht="27.6" x14ac:dyDescent="0.25">
      <c r="B47" s="13">
        <v>4.8</v>
      </c>
      <c r="C47" s="56" t="s">
        <v>47</v>
      </c>
      <c r="D47" s="32" t="s">
        <v>343</v>
      </c>
      <c r="E47" s="32">
        <v>1</v>
      </c>
      <c r="F47" s="33">
        <v>1</v>
      </c>
      <c r="G47" s="14">
        <f t="shared" si="3"/>
        <v>1</v>
      </c>
    </row>
    <row r="48" spans="2:7" ht="27.6" x14ac:dyDescent="0.25">
      <c r="B48" s="15">
        <v>4.9000000000000004</v>
      </c>
      <c r="C48" s="57" t="s">
        <v>48</v>
      </c>
      <c r="D48" s="16" t="s">
        <v>343</v>
      </c>
      <c r="E48" s="16">
        <v>1</v>
      </c>
      <c r="F48" s="17">
        <v>1</v>
      </c>
      <c r="G48" s="18">
        <f t="shared" si="3"/>
        <v>1</v>
      </c>
    </row>
    <row r="50" spans="2:7" x14ac:dyDescent="0.25">
      <c r="B50" s="10">
        <v>5</v>
      </c>
      <c r="C50" s="55" t="s">
        <v>49</v>
      </c>
      <c r="D50" s="11"/>
      <c r="E50" s="11"/>
      <c r="F50" s="12"/>
      <c r="G50" s="58">
        <f>SUM(G51:G58)</f>
        <v>8</v>
      </c>
    </row>
    <row r="51" spans="2:7" ht="27.6" x14ac:dyDescent="0.25">
      <c r="B51" s="13">
        <v>5.0999999999999996</v>
      </c>
      <c r="C51" s="56" t="s">
        <v>50</v>
      </c>
      <c r="D51" s="32" t="s">
        <v>346</v>
      </c>
      <c r="E51" s="32">
        <v>1</v>
      </c>
      <c r="F51" s="33">
        <v>1</v>
      </c>
      <c r="G51" s="14">
        <f>E51*F51</f>
        <v>1</v>
      </c>
    </row>
    <row r="52" spans="2:7" ht="27.6" x14ac:dyDescent="0.25">
      <c r="B52" s="13">
        <v>5.2</v>
      </c>
      <c r="C52" s="56" t="s">
        <v>51</v>
      </c>
      <c r="D52" s="32" t="s">
        <v>343</v>
      </c>
      <c r="E52" s="32">
        <v>1</v>
      </c>
      <c r="F52" s="33">
        <v>1</v>
      </c>
      <c r="G52" s="14">
        <f t="shared" ref="G52:G58" si="4">E52*F52</f>
        <v>1</v>
      </c>
    </row>
    <row r="53" spans="2:7" ht="27.6" x14ac:dyDescent="0.25">
      <c r="B53" s="13">
        <v>5.3</v>
      </c>
      <c r="C53" s="56" t="s">
        <v>52</v>
      </c>
      <c r="D53" s="32" t="s">
        <v>346</v>
      </c>
      <c r="E53" s="32">
        <v>1</v>
      </c>
      <c r="F53" s="33">
        <v>1</v>
      </c>
      <c r="G53" s="14">
        <f t="shared" si="4"/>
        <v>1</v>
      </c>
    </row>
    <row r="54" spans="2:7" ht="27.6" x14ac:dyDescent="0.25">
      <c r="B54" s="13">
        <v>5.4</v>
      </c>
      <c r="C54" s="56" t="s">
        <v>53</v>
      </c>
      <c r="D54" s="32" t="s">
        <v>346</v>
      </c>
      <c r="E54" s="32">
        <v>1</v>
      </c>
      <c r="F54" s="33">
        <v>1</v>
      </c>
      <c r="G54" s="14">
        <f t="shared" si="4"/>
        <v>1</v>
      </c>
    </row>
    <row r="55" spans="2:7" ht="27.6" x14ac:dyDescent="0.25">
      <c r="B55" s="13">
        <v>5.5</v>
      </c>
      <c r="C55" s="56" t="s">
        <v>54</v>
      </c>
      <c r="D55" s="32" t="s">
        <v>346</v>
      </c>
      <c r="E55" s="32">
        <v>1</v>
      </c>
      <c r="F55" s="33">
        <v>1</v>
      </c>
      <c r="G55" s="14">
        <f t="shared" si="4"/>
        <v>1</v>
      </c>
    </row>
    <row r="56" spans="2:7" ht="27.6" x14ac:dyDescent="0.25">
      <c r="B56" s="13">
        <v>5.6</v>
      </c>
      <c r="C56" s="56" t="s">
        <v>55</v>
      </c>
      <c r="D56" s="32" t="s">
        <v>346</v>
      </c>
      <c r="E56" s="32">
        <v>1</v>
      </c>
      <c r="F56" s="33">
        <v>1</v>
      </c>
      <c r="G56" s="14">
        <f t="shared" si="4"/>
        <v>1</v>
      </c>
    </row>
    <row r="57" spans="2:7" ht="27.6" x14ac:dyDescent="0.25">
      <c r="B57" s="13">
        <v>5.7</v>
      </c>
      <c r="C57" s="56" t="s">
        <v>56</v>
      </c>
      <c r="D57" s="32" t="s">
        <v>343</v>
      </c>
      <c r="E57" s="32">
        <v>1</v>
      </c>
      <c r="F57" s="33">
        <v>1</v>
      </c>
      <c r="G57" s="14">
        <f t="shared" si="4"/>
        <v>1</v>
      </c>
    </row>
    <row r="58" spans="2:7" ht="27.6" x14ac:dyDescent="0.25">
      <c r="B58" s="15">
        <v>5.8</v>
      </c>
      <c r="C58" s="57" t="s">
        <v>57</v>
      </c>
      <c r="D58" s="16" t="s">
        <v>345</v>
      </c>
      <c r="E58" s="16">
        <v>1</v>
      </c>
      <c r="F58" s="17">
        <v>1</v>
      </c>
      <c r="G58" s="18">
        <f t="shared" si="4"/>
        <v>1</v>
      </c>
    </row>
    <row r="60" spans="2:7" x14ac:dyDescent="0.25">
      <c r="B60" s="10">
        <v>6</v>
      </c>
      <c r="C60" s="55" t="s">
        <v>58</v>
      </c>
      <c r="D60" s="11"/>
      <c r="E60" s="11"/>
      <c r="F60" s="12"/>
      <c r="G60" s="58">
        <f>SUM(G61:G69)</f>
        <v>9</v>
      </c>
    </row>
    <row r="61" spans="2:7" ht="27.6" x14ac:dyDescent="0.25">
      <c r="B61" s="13">
        <v>6.1</v>
      </c>
      <c r="C61" s="56" t="s">
        <v>59</v>
      </c>
      <c r="D61" s="32" t="s">
        <v>345</v>
      </c>
      <c r="E61" s="32">
        <v>1</v>
      </c>
      <c r="F61" s="33">
        <v>1</v>
      </c>
      <c r="G61" s="14">
        <f>E61*F61</f>
        <v>1</v>
      </c>
    </row>
    <row r="62" spans="2:7" ht="27.6" x14ac:dyDescent="0.25">
      <c r="B62" s="13">
        <v>6.2</v>
      </c>
      <c r="C62" s="56" t="s">
        <v>60</v>
      </c>
      <c r="D62" s="32" t="s">
        <v>345</v>
      </c>
      <c r="E62" s="32">
        <v>1</v>
      </c>
      <c r="F62" s="33">
        <v>1</v>
      </c>
      <c r="G62" s="14">
        <f t="shared" ref="G62:G69" si="5">E62*F62</f>
        <v>1</v>
      </c>
    </row>
    <row r="63" spans="2:7" x14ac:dyDescent="0.25">
      <c r="B63" s="13">
        <v>6.3</v>
      </c>
      <c r="C63" s="56" t="s">
        <v>61</v>
      </c>
      <c r="D63" s="32" t="s">
        <v>345</v>
      </c>
      <c r="E63" s="32">
        <v>1</v>
      </c>
      <c r="F63" s="33">
        <v>1</v>
      </c>
      <c r="G63" s="14">
        <f t="shared" si="5"/>
        <v>1</v>
      </c>
    </row>
    <row r="64" spans="2:7" ht="27.6" x14ac:dyDescent="0.25">
      <c r="B64" s="13">
        <v>6.4</v>
      </c>
      <c r="C64" s="56" t="s">
        <v>62</v>
      </c>
      <c r="D64" s="32" t="s">
        <v>343</v>
      </c>
      <c r="E64" s="32">
        <v>1</v>
      </c>
      <c r="F64" s="33">
        <v>1</v>
      </c>
      <c r="G64" s="14">
        <f t="shared" si="5"/>
        <v>1</v>
      </c>
    </row>
    <row r="65" spans="2:7" x14ac:dyDescent="0.25">
      <c r="B65" s="13">
        <v>6.5</v>
      </c>
      <c r="C65" s="56" t="s">
        <v>63</v>
      </c>
      <c r="D65" s="32" t="s">
        <v>345</v>
      </c>
      <c r="E65" s="32">
        <v>1</v>
      </c>
      <c r="F65" s="33">
        <v>1</v>
      </c>
      <c r="G65" s="14">
        <f t="shared" si="5"/>
        <v>1</v>
      </c>
    </row>
    <row r="66" spans="2:7" ht="27.6" x14ac:dyDescent="0.25">
      <c r="B66" s="13">
        <v>6.6</v>
      </c>
      <c r="C66" s="56" t="s">
        <v>64</v>
      </c>
      <c r="D66" s="32" t="s">
        <v>345</v>
      </c>
      <c r="E66" s="32">
        <v>1</v>
      </c>
      <c r="F66" s="33">
        <v>1</v>
      </c>
      <c r="G66" s="14">
        <f t="shared" si="5"/>
        <v>1</v>
      </c>
    </row>
    <row r="67" spans="2:7" ht="27.6" x14ac:dyDescent="0.25">
      <c r="B67" s="13">
        <v>6.7</v>
      </c>
      <c r="C67" s="56" t="s">
        <v>65</v>
      </c>
      <c r="D67" s="32" t="s">
        <v>345</v>
      </c>
      <c r="E67" s="32">
        <v>1</v>
      </c>
      <c r="F67" s="33">
        <v>1</v>
      </c>
      <c r="G67" s="14">
        <f t="shared" si="5"/>
        <v>1</v>
      </c>
    </row>
    <row r="68" spans="2:7" x14ac:dyDescent="0.25">
      <c r="B68" s="13">
        <v>6.8</v>
      </c>
      <c r="C68" s="56" t="s">
        <v>66</v>
      </c>
      <c r="D68" s="32" t="s">
        <v>345</v>
      </c>
      <c r="E68" s="32">
        <v>1</v>
      </c>
      <c r="F68" s="33">
        <v>1</v>
      </c>
      <c r="G68" s="14">
        <f t="shared" si="5"/>
        <v>1</v>
      </c>
    </row>
    <row r="69" spans="2:7" ht="27.6" x14ac:dyDescent="0.25">
      <c r="B69" s="15">
        <v>6.9</v>
      </c>
      <c r="C69" s="57" t="s">
        <v>67</v>
      </c>
      <c r="D69" s="16" t="s">
        <v>345</v>
      </c>
      <c r="E69" s="16">
        <v>1</v>
      </c>
      <c r="F69" s="17">
        <v>1</v>
      </c>
      <c r="G69" s="18">
        <f t="shared" si="5"/>
        <v>1</v>
      </c>
    </row>
    <row r="71" spans="2:7" x14ac:dyDescent="0.25">
      <c r="B71" s="10">
        <v>7</v>
      </c>
      <c r="C71" s="55" t="s">
        <v>68</v>
      </c>
      <c r="D71" s="11"/>
      <c r="E71" s="11"/>
      <c r="F71" s="12"/>
      <c r="G71" s="58">
        <f>SUM(G72:G78)</f>
        <v>7</v>
      </c>
    </row>
    <row r="72" spans="2:7" ht="27.6" x14ac:dyDescent="0.25">
      <c r="B72" s="13">
        <v>7.1</v>
      </c>
      <c r="C72" s="56" t="s">
        <v>69</v>
      </c>
      <c r="D72" s="32" t="s">
        <v>343</v>
      </c>
      <c r="E72" s="32">
        <v>1</v>
      </c>
      <c r="F72" s="33">
        <v>1</v>
      </c>
      <c r="G72" s="14">
        <f>E72*F72</f>
        <v>1</v>
      </c>
    </row>
    <row r="73" spans="2:7" ht="27.6" x14ac:dyDescent="0.25">
      <c r="B73" s="13">
        <v>7.2</v>
      </c>
      <c r="C73" s="56" t="s">
        <v>70</v>
      </c>
      <c r="D73" s="32" t="s">
        <v>343</v>
      </c>
      <c r="E73" s="32">
        <v>1</v>
      </c>
      <c r="F73" s="33">
        <v>1</v>
      </c>
      <c r="G73" s="14">
        <f t="shared" ref="G73:G78" si="6">E73*F73</f>
        <v>1</v>
      </c>
    </row>
    <row r="74" spans="2:7" ht="27.6" x14ac:dyDescent="0.25">
      <c r="B74" s="13">
        <v>7.3</v>
      </c>
      <c r="C74" s="56" t="s">
        <v>71</v>
      </c>
      <c r="D74" s="32" t="s">
        <v>343</v>
      </c>
      <c r="E74" s="32">
        <v>1</v>
      </c>
      <c r="F74" s="33">
        <v>1</v>
      </c>
      <c r="G74" s="14">
        <f t="shared" si="6"/>
        <v>1</v>
      </c>
    </row>
    <row r="75" spans="2:7" x14ac:dyDescent="0.25">
      <c r="B75" s="13">
        <v>7.4</v>
      </c>
      <c r="C75" s="56" t="s">
        <v>72</v>
      </c>
      <c r="D75" s="32" t="s">
        <v>346</v>
      </c>
      <c r="E75" s="32">
        <v>1</v>
      </c>
      <c r="F75" s="33">
        <v>1</v>
      </c>
      <c r="G75" s="14">
        <f t="shared" si="6"/>
        <v>1</v>
      </c>
    </row>
    <row r="76" spans="2:7" x14ac:dyDescent="0.25">
      <c r="B76" s="13">
        <v>7.5</v>
      </c>
      <c r="C76" s="56" t="s">
        <v>73</v>
      </c>
      <c r="D76" s="32" t="s">
        <v>345</v>
      </c>
      <c r="E76" s="32">
        <v>1</v>
      </c>
      <c r="F76" s="33">
        <v>1</v>
      </c>
      <c r="G76" s="14">
        <f t="shared" si="6"/>
        <v>1</v>
      </c>
    </row>
    <row r="77" spans="2:7" x14ac:dyDescent="0.25">
      <c r="B77" s="13">
        <v>7.6</v>
      </c>
      <c r="C77" s="56" t="s">
        <v>74</v>
      </c>
      <c r="D77" s="32" t="s">
        <v>346</v>
      </c>
      <c r="E77" s="32">
        <v>1</v>
      </c>
      <c r="F77" s="33">
        <v>1</v>
      </c>
      <c r="G77" s="14">
        <f t="shared" si="6"/>
        <v>1</v>
      </c>
    </row>
    <row r="78" spans="2:7" ht="27.6" x14ac:dyDescent="0.25">
      <c r="B78" s="15">
        <v>7.7</v>
      </c>
      <c r="C78" s="57" t="s">
        <v>75</v>
      </c>
      <c r="D78" s="16" t="s">
        <v>347</v>
      </c>
      <c r="E78" s="16">
        <v>1</v>
      </c>
      <c r="F78" s="17">
        <v>1</v>
      </c>
      <c r="G78" s="18">
        <f t="shared" si="6"/>
        <v>1</v>
      </c>
    </row>
    <row r="80" spans="2:7" x14ac:dyDescent="0.25">
      <c r="B80" s="10">
        <v>8</v>
      </c>
      <c r="C80" s="55" t="s">
        <v>76</v>
      </c>
      <c r="D80" s="11"/>
      <c r="E80" s="11"/>
      <c r="F80" s="12"/>
      <c r="G80" s="58">
        <f>SUM(G81:G89)</f>
        <v>9</v>
      </c>
    </row>
    <row r="81" spans="2:7" ht="27.6" x14ac:dyDescent="0.25">
      <c r="B81" s="13">
        <v>8.1</v>
      </c>
      <c r="C81" s="56" t="s">
        <v>77</v>
      </c>
      <c r="D81" s="32" t="s">
        <v>343</v>
      </c>
      <c r="E81" s="32">
        <v>1</v>
      </c>
      <c r="F81" s="33">
        <v>1</v>
      </c>
      <c r="G81" s="14">
        <f>E81*F81</f>
        <v>1</v>
      </c>
    </row>
    <row r="82" spans="2:7" ht="27.6" x14ac:dyDescent="0.25">
      <c r="B82" s="13">
        <v>8.1999999999999993</v>
      </c>
      <c r="C82" s="56" t="s">
        <v>78</v>
      </c>
      <c r="D82" s="32" t="s">
        <v>343</v>
      </c>
      <c r="E82" s="32">
        <v>1</v>
      </c>
      <c r="F82" s="33">
        <v>1</v>
      </c>
      <c r="G82" s="14">
        <f t="shared" ref="G82:G89" si="7">E82*F82</f>
        <v>1</v>
      </c>
    </row>
    <row r="83" spans="2:7" ht="27.6" x14ac:dyDescent="0.25">
      <c r="B83" s="13">
        <v>8.3000000000000007</v>
      </c>
      <c r="C83" s="56" t="s">
        <v>79</v>
      </c>
      <c r="D83" s="32" t="s">
        <v>345</v>
      </c>
      <c r="E83" s="32">
        <v>1</v>
      </c>
      <c r="F83" s="33">
        <v>1</v>
      </c>
      <c r="G83" s="14">
        <f t="shared" si="7"/>
        <v>1</v>
      </c>
    </row>
    <row r="84" spans="2:7" x14ac:dyDescent="0.25">
      <c r="B84" s="13">
        <v>8.4</v>
      </c>
      <c r="C84" s="56" t="s">
        <v>80</v>
      </c>
      <c r="D84" s="32" t="s">
        <v>345</v>
      </c>
      <c r="E84" s="32">
        <v>1</v>
      </c>
      <c r="F84" s="33">
        <v>1</v>
      </c>
      <c r="G84" s="14">
        <f t="shared" si="7"/>
        <v>1</v>
      </c>
    </row>
    <row r="85" spans="2:7" ht="27.6" x14ac:dyDescent="0.25">
      <c r="B85" s="13">
        <v>8.5</v>
      </c>
      <c r="C85" s="56" t="s">
        <v>81</v>
      </c>
      <c r="D85" s="32" t="s">
        <v>345</v>
      </c>
      <c r="E85" s="32">
        <v>1</v>
      </c>
      <c r="F85" s="33">
        <v>1</v>
      </c>
      <c r="G85" s="14">
        <f t="shared" si="7"/>
        <v>1</v>
      </c>
    </row>
    <row r="86" spans="2:7" ht="27.6" x14ac:dyDescent="0.25">
      <c r="B86" s="13">
        <v>8.6</v>
      </c>
      <c r="C86" s="56" t="s">
        <v>82</v>
      </c>
      <c r="D86" s="32" t="s">
        <v>347</v>
      </c>
      <c r="E86" s="32">
        <v>1</v>
      </c>
      <c r="F86" s="33">
        <v>1</v>
      </c>
      <c r="G86" s="14">
        <f t="shared" si="7"/>
        <v>1</v>
      </c>
    </row>
    <row r="87" spans="2:7" ht="27.6" x14ac:dyDescent="0.25">
      <c r="B87" s="13">
        <v>8.6999999999999993</v>
      </c>
      <c r="C87" s="56" t="s">
        <v>83</v>
      </c>
      <c r="D87" s="32" t="s">
        <v>345</v>
      </c>
      <c r="E87" s="32">
        <v>1</v>
      </c>
      <c r="F87" s="33">
        <v>1</v>
      </c>
      <c r="G87" s="14">
        <f t="shared" si="7"/>
        <v>1</v>
      </c>
    </row>
    <row r="88" spans="2:7" x14ac:dyDescent="0.25">
      <c r="B88" s="13">
        <v>8.8000000000000007</v>
      </c>
      <c r="C88" s="56" t="s">
        <v>84</v>
      </c>
      <c r="D88" s="32" t="s">
        <v>345</v>
      </c>
      <c r="E88" s="32">
        <v>1</v>
      </c>
      <c r="F88" s="33">
        <v>1</v>
      </c>
      <c r="G88" s="14">
        <f t="shared" si="7"/>
        <v>1</v>
      </c>
    </row>
    <row r="89" spans="2:7" ht="27.6" x14ac:dyDescent="0.25">
      <c r="B89" s="15">
        <v>8.9</v>
      </c>
      <c r="C89" s="57" t="s">
        <v>85</v>
      </c>
      <c r="D89" s="16" t="s">
        <v>345</v>
      </c>
      <c r="E89" s="16">
        <v>1</v>
      </c>
      <c r="F89" s="17">
        <v>1</v>
      </c>
      <c r="G89" s="18">
        <f t="shared" si="7"/>
        <v>1</v>
      </c>
    </row>
    <row r="91" spans="2:7" x14ac:dyDescent="0.25">
      <c r="B91" s="10">
        <v>9</v>
      </c>
      <c r="C91" s="55" t="s">
        <v>86</v>
      </c>
      <c r="D91" s="11"/>
      <c r="E91" s="11"/>
      <c r="F91" s="12"/>
      <c r="G91" s="58">
        <f>SUM(G92:G100)</f>
        <v>9</v>
      </c>
    </row>
    <row r="92" spans="2:7" ht="27.6" x14ac:dyDescent="0.25">
      <c r="B92" s="13">
        <v>9.1</v>
      </c>
      <c r="C92" s="56" t="s">
        <v>87</v>
      </c>
      <c r="D92" s="32" t="s">
        <v>346</v>
      </c>
      <c r="E92" s="32">
        <v>1</v>
      </c>
      <c r="F92" s="33">
        <v>1</v>
      </c>
      <c r="G92" s="14">
        <f>E92*F92</f>
        <v>1</v>
      </c>
    </row>
    <row r="93" spans="2:7" ht="27.6" x14ac:dyDescent="0.25">
      <c r="B93" s="13">
        <v>9.1999999999999993</v>
      </c>
      <c r="C93" s="56" t="s">
        <v>88</v>
      </c>
      <c r="D93" s="32" t="s">
        <v>346</v>
      </c>
      <c r="E93" s="32">
        <v>1</v>
      </c>
      <c r="F93" s="33">
        <v>1</v>
      </c>
      <c r="G93" s="14">
        <f t="shared" ref="G93:G100" si="8">E93*F93</f>
        <v>1</v>
      </c>
    </row>
    <row r="94" spans="2:7" ht="27.6" x14ac:dyDescent="0.25">
      <c r="B94" s="13">
        <v>9.3000000000000007</v>
      </c>
      <c r="C94" s="56" t="s">
        <v>89</v>
      </c>
      <c r="D94" s="32" t="s">
        <v>346</v>
      </c>
      <c r="E94" s="32">
        <v>1</v>
      </c>
      <c r="F94" s="33">
        <v>1</v>
      </c>
      <c r="G94" s="14">
        <f t="shared" si="8"/>
        <v>1</v>
      </c>
    </row>
    <row r="95" spans="2:7" ht="27.6" x14ac:dyDescent="0.25">
      <c r="B95" s="13">
        <v>9.4</v>
      </c>
      <c r="C95" s="56" t="s">
        <v>90</v>
      </c>
      <c r="D95" s="32" t="s">
        <v>346</v>
      </c>
      <c r="E95" s="32">
        <v>1</v>
      </c>
      <c r="F95" s="33">
        <v>1</v>
      </c>
      <c r="G95" s="14">
        <f t="shared" si="8"/>
        <v>1</v>
      </c>
    </row>
    <row r="96" spans="2:7" ht="27.6" x14ac:dyDescent="0.25">
      <c r="B96" s="13">
        <v>9.5</v>
      </c>
      <c r="C96" s="56" t="s">
        <v>91</v>
      </c>
      <c r="D96" s="32" t="s">
        <v>346</v>
      </c>
      <c r="E96" s="32">
        <v>1</v>
      </c>
      <c r="F96" s="33">
        <v>1</v>
      </c>
      <c r="G96" s="14">
        <f t="shared" si="8"/>
        <v>1</v>
      </c>
    </row>
    <row r="97" spans="2:7" ht="27.6" x14ac:dyDescent="0.25">
      <c r="B97" s="13">
        <v>9.6</v>
      </c>
      <c r="C97" s="56" t="s">
        <v>92</v>
      </c>
      <c r="D97" s="32" t="s">
        <v>346</v>
      </c>
      <c r="E97" s="32">
        <v>1</v>
      </c>
      <c r="F97" s="33">
        <v>1</v>
      </c>
      <c r="G97" s="14">
        <f t="shared" si="8"/>
        <v>1</v>
      </c>
    </row>
    <row r="98" spans="2:7" ht="27.6" x14ac:dyDescent="0.25">
      <c r="B98" s="13">
        <v>9.6999999999999993</v>
      </c>
      <c r="C98" s="56" t="s">
        <v>93</v>
      </c>
      <c r="D98" s="32" t="s">
        <v>346</v>
      </c>
      <c r="E98" s="32">
        <v>1</v>
      </c>
      <c r="F98" s="33">
        <v>1</v>
      </c>
      <c r="G98" s="14">
        <f t="shared" si="8"/>
        <v>1</v>
      </c>
    </row>
    <row r="99" spans="2:7" ht="27.6" x14ac:dyDescent="0.25">
      <c r="B99" s="13">
        <v>9.8000000000000007</v>
      </c>
      <c r="C99" s="56" t="s">
        <v>94</v>
      </c>
      <c r="D99" s="32" t="s">
        <v>346</v>
      </c>
      <c r="E99" s="32">
        <v>1</v>
      </c>
      <c r="F99" s="33">
        <v>1</v>
      </c>
      <c r="G99" s="14">
        <f t="shared" si="8"/>
        <v>1</v>
      </c>
    </row>
    <row r="100" spans="2:7" ht="27.6" x14ac:dyDescent="0.25">
      <c r="B100" s="15">
        <v>9.9</v>
      </c>
      <c r="C100" s="57" t="s">
        <v>95</v>
      </c>
      <c r="D100" s="16" t="s">
        <v>346</v>
      </c>
      <c r="E100" s="16">
        <v>1</v>
      </c>
      <c r="F100" s="17">
        <v>1</v>
      </c>
      <c r="G100" s="18">
        <f t="shared" si="8"/>
        <v>1</v>
      </c>
    </row>
    <row r="102" spans="2:7" x14ac:dyDescent="0.25">
      <c r="B102" s="10">
        <v>10</v>
      </c>
      <c r="C102" s="55" t="s">
        <v>96</v>
      </c>
      <c r="D102" s="11"/>
      <c r="E102" s="11"/>
      <c r="F102" s="12"/>
      <c r="G102" s="58">
        <f>SUM(G103:G112)</f>
        <v>10</v>
      </c>
    </row>
    <row r="103" spans="2:7" ht="27.6" x14ac:dyDescent="0.25">
      <c r="B103" s="13">
        <v>10.1</v>
      </c>
      <c r="C103" s="56" t="s">
        <v>97</v>
      </c>
      <c r="D103" s="32" t="s">
        <v>345</v>
      </c>
      <c r="E103" s="32">
        <v>1</v>
      </c>
      <c r="F103" s="33">
        <v>1</v>
      </c>
      <c r="G103" s="14">
        <f>E103*F103</f>
        <v>1</v>
      </c>
    </row>
    <row r="104" spans="2:7" ht="27.6" x14ac:dyDescent="0.25">
      <c r="B104" s="13">
        <v>10.199999999999999</v>
      </c>
      <c r="C104" s="56" t="s">
        <v>98</v>
      </c>
      <c r="D104" s="32" t="s">
        <v>345</v>
      </c>
      <c r="E104" s="32">
        <v>1</v>
      </c>
      <c r="F104" s="33">
        <v>1</v>
      </c>
      <c r="G104" s="14">
        <f t="shared" ref="G104:G112" si="9">E104*F104</f>
        <v>1</v>
      </c>
    </row>
    <row r="105" spans="2:7" ht="27.6" x14ac:dyDescent="0.25">
      <c r="B105" s="13">
        <v>10.3</v>
      </c>
      <c r="C105" s="56" t="s">
        <v>99</v>
      </c>
      <c r="D105" s="32" t="s">
        <v>345</v>
      </c>
      <c r="E105" s="32">
        <v>1</v>
      </c>
      <c r="F105" s="33">
        <v>1</v>
      </c>
      <c r="G105" s="14">
        <f t="shared" si="9"/>
        <v>1</v>
      </c>
    </row>
    <row r="106" spans="2:7" ht="27.6" x14ac:dyDescent="0.25">
      <c r="B106" s="13">
        <v>10.4</v>
      </c>
      <c r="C106" s="56" t="s">
        <v>100</v>
      </c>
      <c r="D106" s="32" t="s">
        <v>345</v>
      </c>
      <c r="E106" s="32">
        <v>1</v>
      </c>
      <c r="F106" s="33">
        <v>1</v>
      </c>
      <c r="G106" s="14">
        <f t="shared" si="9"/>
        <v>1</v>
      </c>
    </row>
    <row r="107" spans="2:7" ht="27.6" x14ac:dyDescent="0.25">
      <c r="B107" s="13">
        <v>10.5</v>
      </c>
      <c r="C107" s="56" t="s">
        <v>101</v>
      </c>
      <c r="D107" s="32" t="s">
        <v>345</v>
      </c>
      <c r="E107" s="32">
        <v>1</v>
      </c>
      <c r="F107" s="33">
        <v>1</v>
      </c>
      <c r="G107" s="14">
        <f t="shared" si="9"/>
        <v>1</v>
      </c>
    </row>
    <row r="108" spans="2:7" ht="27.6" x14ac:dyDescent="0.25">
      <c r="B108" s="13">
        <v>10.6</v>
      </c>
      <c r="C108" s="56" t="s">
        <v>102</v>
      </c>
      <c r="D108" s="32" t="s">
        <v>345</v>
      </c>
      <c r="E108" s="32">
        <v>1</v>
      </c>
      <c r="F108" s="33">
        <v>1</v>
      </c>
      <c r="G108" s="14">
        <f t="shared" si="9"/>
        <v>1</v>
      </c>
    </row>
    <row r="109" spans="2:7" ht="27.6" x14ac:dyDescent="0.25">
      <c r="B109" s="13">
        <v>10.7</v>
      </c>
      <c r="C109" s="56" t="s">
        <v>103</v>
      </c>
      <c r="D109" s="32" t="s">
        <v>345</v>
      </c>
      <c r="E109" s="32">
        <v>1</v>
      </c>
      <c r="F109" s="33">
        <v>1</v>
      </c>
      <c r="G109" s="14">
        <f t="shared" si="9"/>
        <v>1</v>
      </c>
    </row>
    <row r="110" spans="2:7" x14ac:dyDescent="0.25">
      <c r="B110" s="13">
        <v>10.8</v>
      </c>
      <c r="C110" s="56" t="s">
        <v>104</v>
      </c>
      <c r="D110" s="32" t="s">
        <v>345</v>
      </c>
      <c r="E110" s="32">
        <v>1</v>
      </c>
      <c r="F110" s="33">
        <v>1</v>
      </c>
      <c r="G110" s="14">
        <f t="shared" si="9"/>
        <v>1</v>
      </c>
    </row>
    <row r="111" spans="2:7" ht="27.6" x14ac:dyDescent="0.25">
      <c r="B111" s="13">
        <v>10.9</v>
      </c>
      <c r="C111" s="56" t="s">
        <v>105</v>
      </c>
      <c r="D111" s="32" t="s">
        <v>345</v>
      </c>
      <c r="E111" s="32">
        <v>1</v>
      </c>
      <c r="F111" s="33">
        <v>1</v>
      </c>
      <c r="G111" s="14">
        <f t="shared" si="9"/>
        <v>1</v>
      </c>
    </row>
    <row r="112" spans="2:7" x14ac:dyDescent="0.25">
      <c r="B112" s="34">
        <v>10.1</v>
      </c>
      <c r="C112" s="57" t="s">
        <v>106</v>
      </c>
      <c r="D112" s="16" t="s">
        <v>346</v>
      </c>
      <c r="E112" s="16">
        <v>1</v>
      </c>
      <c r="F112" s="17">
        <v>1</v>
      </c>
      <c r="G112" s="18">
        <f t="shared" si="9"/>
        <v>1</v>
      </c>
    </row>
    <row r="114" spans="2:7" x14ac:dyDescent="0.25">
      <c r="B114" s="10">
        <v>11</v>
      </c>
      <c r="C114" s="55" t="s">
        <v>107</v>
      </c>
      <c r="D114" s="11"/>
      <c r="E114" s="11"/>
      <c r="F114" s="12"/>
      <c r="G114" s="58">
        <f>SUM(G115:G126)</f>
        <v>12</v>
      </c>
    </row>
    <row r="115" spans="2:7" ht="27.6" x14ac:dyDescent="0.25">
      <c r="B115" s="13">
        <v>11.1</v>
      </c>
      <c r="C115" s="56" t="s">
        <v>108</v>
      </c>
      <c r="D115" s="32" t="s">
        <v>345</v>
      </c>
      <c r="E115" s="32">
        <v>1</v>
      </c>
      <c r="F115" s="33">
        <v>1</v>
      </c>
      <c r="G115" s="14">
        <f>E115*F115</f>
        <v>1</v>
      </c>
    </row>
    <row r="116" spans="2:7" ht="27.6" x14ac:dyDescent="0.25">
      <c r="B116" s="13">
        <v>11.2</v>
      </c>
      <c r="C116" s="56" t="s">
        <v>109</v>
      </c>
      <c r="D116" s="32" t="s">
        <v>345</v>
      </c>
      <c r="E116" s="32">
        <v>1</v>
      </c>
      <c r="F116" s="33">
        <v>1</v>
      </c>
      <c r="G116" s="14">
        <f t="shared" ref="G116:G126" si="10">E116*F116</f>
        <v>1</v>
      </c>
    </row>
    <row r="117" spans="2:7" ht="27.6" x14ac:dyDescent="0.25">
      <c r="B117" s="13">
        <v>11.3</v>
      </c>
      <c r="C117" s="56" t="s">
        <v>110</v>
      </c>
      <c r="D117" s="32" t="s">
        <v>345</v>
      </c>
      <c r="E117" s="32">
        <v>1</v>
      </c>
      <c r="F117" s="33">
        <v>1</v>
      </c>
      <c r="G117" s="14">
        <f t="shared" si="10"/>
        <v>1</v>
      </c>
    </row>
    <row r="118" spans="2:7" ht="27.6" x14ac:dyDescent="0.25">
      <c r="B118" s="13">
        <v>11.4</v>
      </c>
      <c r="C118" s="56" t="s">
        <v>111</v>
      </c>
      <c r="D118" s="32" t="s">
        <v>345</v>
      </c>
      <c r="E118" s="32">
        <v>1</v>
      </c>
      <c r="F118" s="33">
        <v>1</v>
      </c>
      <c r="G118" s="14">
        <f t="shared" si="10"/>
        <v>1</v>
      </c>
    </row>
    <row r="119" spans="2:7" ht="27.6" x14ac:dyDescent="0.25">
      <c r="B119" s="13">
        <v>11.5</v>
      </c>
      <c r="C119" s="56" t="s">
        <v>112</v>
      </c>
      <c r="D119" s="32" t="s">
        <v>345</v>
      </c>
      <c r="E119" s="32">
        <v>1</v>
      </c>
      <c r="F119" s="33">
        <v>1</v>
      </c>
      <c r="G119" s="14">
        <f t="shared" si="10"/>
        <v>1</v>
      </c>
    </row>
    <row r="120" spans="2:7" ht="27.6" x14ac:dyDescent="0.25">
      <c r="B120" s="13">
        <v>11.6</v>
      </c>
      <c r="C120" s="56" t="s">
        <v>113</v>
      </c>
      <c r="D120" s="32" t="s">
        <v>345</v>
      </c>
      <c r="E120" s="32">
        <v>1</v>
      </c>
      <c r="F120" s="33">
        <v>1</v>
      </c>
      <c r="G120" s="14">
        <f t="shared" si="10"/>
        <v>1</v>
      </c>
    </row>
    <row r="121" spans="2:7" ht="27.6" x14ac:dyDescent="0.25">
      <c r="B121" s="13">
        <v>11.7</v>
      </c>
      <c r="C121" s="56" t="s">
        <v>114</v>
      </c>
      <c r="D121" s="32" t="s">
        <v>345</v>
      </c>
      <c r="E121" s="32">
        <v>1</v>
      </c>
      <c r="F121" s="33">
        <v>1</v>
      </c>
      <c r="G121" s="14">
        <f t="shared" si="10"/>
        <v>1</v>
      </c>
    </row>
    <row r="122" spans="2:7" ht="27.6" x14ac:dyDescent="0.25">
      <c r="B122" s="13">
        <v>11.8</v>
      </c>
      <c r="C122" s="56" t="s">
        <v>115</v>
      </c>
      <c r="D122" s="32" t="s">
        <v>345</v>
      </c>
      <c r="E122" s="32">
        <v>1</v>
      </c>
      <c r="F122" s="33">
        <v>1</v>
      </c>
      <c r="G122" s="14">
        <f t="shared" si="10"/>
        <v>1</v>
      </c>
    </row>
    <row r="123" spans="2:7" ht="27.6" x14ac:dyDescent="0.25">
      <c r="B123" s="13">
        <v>11.9</v>
      </c>
      <c r="C123" s="56" t="s">
        <v>116</v>
      </c>
      <c r="D123" s="32" t="s">
        <v>345</v>
      </c>
      <c r="E123" s="32">
        <v>1</v>
      </c>
      <c r="F123" s="33">
        <v>1</v>
      </c>
      <c r="G123" s="14">
        <f t="shared" si="10"/>
        <v>1</v>
      </c>
    </row>
    <row r="124" spans="2:7" ht="27.6" x14ac:dyDescent="0.25">
      <c r="B124" s="35">
        <v>11.1</v>
      </c>
      <c r="C124" s="56" t="s">
        <v>117</v>
      </c>
      <c r="D124" s="32" t="s">
        <v>345</v>
      </c>
      <c r="E124" s="32">
        <v>1</v>
      </c>
      <c r="F124" s="33">
        <v>1</v>
      </c>
      <c r="G124" s="14">
        <f t="shared" si="10"/>
        <v>1</v>
      </c>
    </row>
    <row r="125" spans="2:7" ht="27.6" x14ac:dyDescent="0.25">
      <c r="B125" s="13">
        <v>11.11</v>
      </c>
      <c r="C125" s="56" t="s">
        <v>118</v>
      </c>
      <c r="D125" s="32" t="s">
        <v>345</v>
      </c>
      <c r="E125" s="32">
        <v>1</v>
      </c>
      <c r="F125" s="33">
        <v>1</v>
      </c>
      <c r="G125" s="14">
        <f t="shared" si="10"/>
        <v>1</v>
      </c>
    </row>
    <row r="126" spans="2:7" ht="27.6" x14ac:dyDescent="0.25">
      <c r="B126" s="15">
        <v>11.12</v>
      </c>
      <c r="C126" s="57" t="s">
        <v>119</v>
      </c>
      <c r="D126" s="16" t="s">
        <v>345</v>
      </c>
      <c r="E126" s="16">
        <v>1</v>
      </c>
      <c r="F126" s="17">
        <v>1</v>
      </c>
      <c r="G126" s="18">
        <f t="shared" si="10"/>
        <v>1</v>
      </c>
    </row>
    <row r="128" spans="2:7" x14ac:dyDescent="0.25">
      <c r="B128" s="10">
        <v>12</v>
      </c>
      <c r="C128" s="55" t="s">
        <v>120</v>
      </c>
      <c r="D128" s="11"/>
      <c r="E128" s="11"/>
      <c r="F128" s="12"/>
      <c r="G128" s="58">
        <f>SUM(G129:G140)</f>
        <v>12</v>
      </c>
    </row>
    <row r="129" spans="2:7" ht="27.6" x14ac:dyDescent="0.25">
      <c r="B129" s="13">
        <v>12.1</v>
      </c>
      <c r="C129" s="56" t="s">
        <v>121</v>
      </c>
      <c r="D129" s="32" t="s">
        <v>345</v>
      </c>
      <c r="E129" s="32">
        <v>1</v>
      </c>
      <c r="F129" s="33">
        <v>1</v>
      </c>
      <c r="G129" s="14">
        <f>E129*F129</f>
        <v>1</v>
      </c>
    </row>
    <row r="130" spans="2:7" ht="27.6" x14ac:dyDescent="0.25">
      <c r="B130" s="13">
        <v>12.2</v>
      </c>
      <c r="C130" s="56" t="s">
        <v>122</v>
      </c>
      <c r="D130" s="32" t="s">
        <v>345</v>
      </c>
      <c r="E130" s="32">
        <v>1</v>
      </c>
      <c r="F130" s="33">
        <v>1</v>
      </c>
      <c r="G130" s="14">
        <f t="shared" ref="G130:G140" si="11">E130*F130</f>
        <v>1</v>
      </c>
    </row>
    <row r="131" spans="2:7" x14ac:dyDescent="0.25">
      <c r="B131" s="13">
        <v>12.3</v>
      </c>
      <c r="C131" s="56" t="s">
        <v>123</v>
      </c>
      <c r="D131" s="32" t="s">
        <v>345</v>
      </c>
      <c r="E131" s="32">
        <v>1</v>
      </c>
      <c r="F131" s="33">
        <v>1</v>
      </c>
      <c r="G131" s="14">
        <f t="shared" si="11"/>
        <v>1</v>
      </c>
    </row>
    <row r="132" spans="2:7" x14ac:dyDescent="0.25">
      <c r="B132" s="13">
        <v>12.4</v>
      </c>
      <c r="C132" s="56" t="s">
        <v>124</v>
      </c>
      <c r="D132" s="32" t="s">
        <v>345</v>
      </c>
      <c r="E132" s="32">
        <v>1</v>
      </c>
      <c r="F132" s="33">
        <v>1</v>
      </c>
      <c r="G132" s="14">
        <f t="shared" si="11"/>
        <v>1</v>
      </c>
    </row>
    <row r="133" spans="2:7" x14ac:dyDescent="0.25">
      <c r="B133" s="13">
        <v>12.5</v>
      </c>
      <c r="C133" s="56" t="s">
        <v>125</v>
      </c>
      <c r="D133" s="32" t="s">
        <v>345</v>
      </c>
      <c r="E133" s="32">
        <v>1</v>
      </c>
      <c r="F133" s="33">
        <v>1</v>
      </c>
      <c r="G133" s="14">
        <f t="shared" si="11"/>
        <v>1</v>
      </c>
    </row>
    <row r="134" spans="2:7" ht="27.6" x14ac:dyDescent="0.25">
      <c r="B134" s="13">
        <v>12.6</v>
      </c>
      <c r="C134" s="56" t="s">
        <v>126</v>
      </c>
      <c r="D134" s="32" t="s">
        <v>345</v>
      </c>
      <c r="E134" s="32">
        <v>1</v>
      </c>
      <c r="F134" s="33">
        <v>1</v>
      </c>
      <c r="G134" s="14">
        <f t="shared" si="11"/>
        <v>1</v>
      </c>
    </row>
    <row r="135" spans="2:7" ht="27.6" x14ac:dyDescent="0.25">
      <c r="B135" s="13">
        <v>12.7</v>
      </c>
      <c r="C135" s="56" t="s">
        <v>127</v>
      </c>
      <c r="D135" s="32" t="s">
        <v>345</v>
      </c>
      <c r="E135" s="32">
        <v>1</v>
      </c>
      <c r="F135" s="33">
        <v>1</v>
      </c>
      <c r="G135" s="14">
        <f t="shared" si="11"/>
        <v>1</v>
      </c>
    </row>
    <row r="136" spans="2:7" x14ac:dyDescent="0.25">
      <c r="B136" s="13">
        <v>12.8</v>
      </c>
      <c r="C136" s="56" t="s">
        <v>128</v>
      </c>
      <c r="D136" s="32" t="s">
        <v>345</v>
      </c>
      <c r="E136" s="32">
        <v>1</v>
      </c>
      <c r="F136" s="33">
        <v>1</v>
      </c>
      <c r="G136" s="14">
        <f t="shared" si="11"/>
        <v>1</v>
      </c>
    </row>
    <row r="137" spans="2:7" x14ac:dyDescent="0.25">
      <c r="B137" s="13">
        <v>12.9</v>
      </c>
      <c r="C137" s="56" t="s">
        <v>129</v>
      </c>
      <c r="D137" s="32" t="s">
        <v>345</v>
      </c>
      <c r="E137" s="32">
        <v>1</v>
      </c>
      <c r="F137" s="33">
        <v>1</v>
      </c>
      <c r="G137" s="14">
        <f t="shared" si="11"/>
        <v>1</v>
      </c>
    </row>
    <row r="138" spans="2:7" x14ac:dyDescent="0.25">
      <c r="B138" s="35">
        <v>12.1</v>
      </c>
      <c r="C138" s="56" t="s">
        <v>130</v>
      </c>
      <c r="D138" s="32" t="s">
        <v>345</v>
      </c>
      <c r="E138" s="32">
        <v>1</v>
      </c>
      <c r="F138" s="33">
        <v>1</v>
      </c>
      <c r="G138" s="14">
        <f t="shared" si="11"/>
        <v>1</v>
      </c>
    </row>
    <row r="139" spans="2:7" x14ac:dyDescent="0.25">
      <c r="B139" s="13">
        <v>12.11</v>
      </c>
      <c r="C139" s="56" t="s">
        <v>131</v>
      </c>
      <c r="D139" s="32" t="s">
        <v>345</v>
      </c>
      <c r="E139" s="32">
        <v>1</v>
      </c>
      <c r="F139" s="33">
        <v>1</v>
      </c>
      <c r="G139" s="14">
        <f t="shared" si="11"/>
        <v>1</v>
      </c>
    </row>
    <row r="140" spans="2:7" x14ac:dyDescent="0.25">
      <c r="B140" s="15">
        <v>12.12</v>
      </c>
      <c r="C140" s="57" t="s">
        <v>132</v>
      </c>
      <c r="D140" s="16" t="s">
        <v>345</v>
      </c>
      <c r="E140" s="16">
        <v>1</v>
      </c>
      <c r="F140" s="17">
        <v>1</v>
      </c>
      <c r="G140" s="18">
        <f t="shared" si="11"/>
        <v>1</v>
      </c>
    </row>
    <row r="142" spans="2:7" x14ac:dyDescent="0.25">
      <c r="B142" s="10">
        <v>13</v>
      </c>
      <c r="C142" s="55" t="s">
        <v>133</v>
      </c>
      <c r="D142" s="11"/>
      <c r="E142" s="11"/>
      <c r="F142" s="12"/>
      <c r="G142" s="58">
        <f>SUM(G143:G152)</f>
        <v>10</v>
      </c>
    </row>
    <row r="143" spans="2:7" ht="27.6" x14ac:dyDescent="0.25">
      <c r="B143" s="13">
        <v>13.1</v>
      </c>
      <c r="C143" s="56" t="s">
        <v>134</v>
      </c>
      <c r="D143" s="32" t="s">
        <v>344</v>
      </c>
      <c r="E143" s="32">
        <v>1</v>
      </c>
      <c r="F143" s="33">
        <v>1</v>
      </c>
      <c r="G143" s="14">
        <f>E143*F143</f>
        <v>1</v>
      </c>
    </row>
    <row r="144" spans="2:7" ht="27.6" x14ac:dyDescent="0.25">
      <c r="B144" s="13">
        <v>13.2</v>
      </c>
      <c r="C144" s="56" t="s">
        <v>135</v>
      </c>
      <c r="D144" s="32" t="s">
        <v>344</v>
      </c>
      <c r="E144" s="32">
        <v>1</v>
      </c>
      <c r="F144" s="33">
        <v>1</v>
      </c>
      <c r="G144" s="14">
        <f t="shared" ref="G144:G152" si="12">E144*F144</f>
        <v>1</v>
      </c>
    </row>
    <row r="145" spans="2:7" ht="27.6" x14ac:dyDescent="0.25">
      <c r="B145" s="13">
        <v>13.3</v>
      </c>
      <c r="C145" s="56" t="s">
        <v>136</v>
      </c>
      <c r="D145" s="32" t="s">
        <v>344</v>
      </c>
      <c r="E145" s="32">
        <v>1</v>
      </c>
      <c r="F145" s="33">
        <v>1</v>
      </c>
      <c r="G145" s="14">
        <f t="shared" si="12"/>
        <v>1</v>
      </c>
    </row>
    <row r="146" spans="2:7" ht="27.6" x14ac:dyDescent="0.25">
      <c r="B146" s="13">
        <v>13.4</v>
      </c>
      <c r="C146" s="56" t="s">
        <v>137</v>
      </c>
      <c r="D146" s="32" t="s">
        <v>344</v>
      </c>
      <c r="E146" s="32">
        <v>1</v>
      </c>
      <c r="F146" s="33">
        <v>1</v>
      </c>
      <c r="G146" s="14">
        <f t="shared" si="12"/>
        <v>1</v>
      </c>
    </row>
    <row r="147" spans="2:7" ht="27.6" x14ac:dyDescent="0.25">
      <c r="B147" s="13">
        <v>13.5</v>
      </c>
      <c r="C147" s="56" t="s">
        <v>138</v>
      </c>
      <c r="D147" s="32" t="s">
        <v>344</v>
      </c>
      <c r="E147" s="32">
        <v>1</v>
      </c>
      <c r="F147" s="33">
        <v>1</v>
      </c>
      <c r="G147" s="14">
        <f t="shared" si="12"/>
        <v>1</v>
      </c>
    </row>
    <row r="148" spans="2:7" ht="27.6" x14ac:dyDescent="0.25">
      <c r="B148" s="13">
        <v>13.6</v>
      </c>
      <c r="C148" s="56" t="s">
        <v>139</v>
      </c>
      <c r="D148" s="32" t="s">
        <v>344</v>
      </c>
      <c r="E148" s="32">
        <v>1</v>
      </c>
      <c r="F148" s="33">
        <v>1</v>
      </c>
      <c r="G148" s="14">
        <f t="shared" si="12"/>
        <v>1</v>
      </c>
    </row>
    <row r="149" spans="2:7" ht="27.6" x14ac:dyDescent="0.25">
      <c r="B149" s="13">
        <v>13.7</v>
      </c>
      <c r="C149" s="56" t="s">
        <v>140</v>
      </c>
      <c r="D149" s="32" t="s">
        <v>344</v>
      </c>
      <c r="E149" s="32">
        <v>1</v>
      </c>
      <c r="F149" s="33">
        <v>1</v>
      </c>
      <c r="G149" s="14">
        <f t="shared" si="12"/>
        <v>1</v>
      </c>
    </row>
    <row r="150" spans="2:7" ht="27.6" x14ac:dyDescent="0.25">
      <c r="B150" s="13">
        <v>13.8</v>
      </c>
      <c r="C150" s="56" t="s">
        <v>141</v>
      </c>
      <c r="D150" s="32" t="s">
        <v>344</v>
      </c>
      <c r="E150" s="32">
        <v>1</v>
      </c>
      <c r="F150" s="33">
        <v>1</v>
      </c>
      <c r="G150" s="14">
        <f t="shared" si="12"/>
        <v>1</v>
      </c>
    </row>
    <row r="151" spans="2:7" ht="27.6" x14ac:dyDescent="0.25">
      <c r="B151" s="13">
        <v>13.9</v>
      </c>
      <c r="C151" s="56" t="s">
        <v>142</v>
      </c>
      <c r="D151" s="32" t="s">
        <v>344</v>
      </c>
      <c r="E151" s="32">
        <v>1</v>
      </c>
      <c r="F151" s="33">
        <v>1</v>
      </c>
      <c r="G151" s="14">
        <f t="shared" si="12"/>
        <v>1</v>
      </c>
    </row>
    <row r="152" spans="2:7" ht="27.6" x14ac:dyDescent="0.25">
      <c r="B152" s="34">
        <v>13.1</v>
      </c>
      <c r="C152" s="57" t="s">
        <v>143</v>
      </c>
      <c r="D152" s="16" t="s">
        <v>344</v>
      </c>
      <c r="E152" s="16">
        <v>1</v>
      </c>
      <c r="F152" s="17">
        <v>1</v>
      </c>
      <c r="G152" s="18">
        <f t="shared" si="12"/>
        <v>1</v>
      </c>
    </row>
    <row r="154" spans="2:7" x14ac:dyDescent="0.25">
      <c r="B154" s="10">
        <v>14</v>
      </c>
      <c r="C154" s="55" t="s">
        <v>144</v>
      </c>
      <c r="D154" s="11"/>
      <c r="E154" s="11"/>
      <c r="F154" s="12"/>
      <c r="G154" s="58">
        <f>SUM(G155:G164)</f>
        <v>10</v>
      </c>
    </row>
    <row r="155" spans="2:7" ht="27.6" x14ac:dyDescent="0.25">
      <c r="B155" s="13">
        <v>14.1</v>
      </c>
      <c r="C155" s="56" t="s">
        <v>145</v>
      </c>
      <c r="D155" s="32" t="s">
        <v>344</v>
      </c>
      <c r="E155" s="32">
        <v>1</v>
      </c>
      <c r="F155" s="33">
        <v>1</v>
      </c>
      <c r="G155" s="14">
        <f>E155*F155</f>
        <v>1</v>
      </c>
    </row>
    <row r="156" spans="2:7" ht="27.6" x14ac:dyDescent="0.25">
      <c r="B156" s="13">
        <v>14.2</v>
      </c>
      <c r="C156" s="56" t="s">
        <v>146</v>
      </c>
      <c r="D156" s="32" t="s">
        <v>344</v>
      </c>
      <c r="E156" s="32">
        <v>1</v>
      </c>
      <c r="F156" s="33">
        <v>1</v>
      </c>
      <c r="G156" s="14">
        <f t="shared" ref="G156:G164" si="13">E156*F156</f>
        <v>1</v>
      </c>
    </row>
    <row r="157" spans="2:7" ht="27.6" x14ac:dyDescent="0.25">
      <c r="B157" s="13">
        <v>14.3</v>
      </c>
      <c r="C157" s="56" t="s">
        <v>147</v>
      </c>
      <c r="D157" s="32" t="s">
        <v>344</v>
      </c>
      <c r="E157" s="32">
        <v>1</v>
      </c>
      <c r="F157" s="33">
        <v>1</v>
      </c>
      <c r="G157" s="14">
        <f t="shared" si="13"/>
        <v>1</v>
      </c>
    </row>
    <row r="158" spans="2:7" ht="27.6" x14ac:dyDescent="0.25">
      <c r="B158" s="13">
        <v>14.4</v>
      </c>
      <c r="C158" s="56" t="s">
        <v>148</v>
      </c>
      <c r="D158" s="32" t="s">
        <v>344</v>
      </c>
      <c r="E158" s="32">
        <v>1</v>
      </c>
      <c r="F158" s="33">
        <v>1</v>
      </c>
      <c r="G158" s="14">
        <f t="shared" si="13"/>
        <v>1</v>
      </c>
    </row>
    <row r="159" spans="2:7" ht="27.6" x14ac:dyDescent="0.25">
      <c r="B159" s="13">
        <v>14.5</v>
      </c>
      <c r="C159" s="56" t="s">
        <v>149</v>
      </c>
      <c r="D159" s="32" t="s">
        <v>344</v>
      </c>
      <c r="E159" s="32">
        <v>1</v>
      </c>
      <c r="F159" s="33">
        <v>1</v>
      </c>
      <c r="G159" s="14">
        <f t="shared" si="13"/>
        <v>1</v>
      </c>
    </row>
    <row r="160" spans="2:7" ht="27.6" x14ac:dyDescent="0.25">
      <c r="B160" s="13">
        <v>14.6</v>
      </c>
      <c r="C160" s="56" t="s">
        <v>150</v>
      </c>
      <c r="D160" s="32" t="s">
        <v>344</v>
      </c>
      <c r="E160" s="32">
        <v>1</v>
      </c>
      <c r="F160" s="33">
        <v>1</v>
      </c>
      <c r="G160" s="14">
        <f t="shared" si="13"/>
        <v>1</v>
      </c>
    </row>
    <row r="161" spans="2:7" ht="27.6" x14ac:dyDescent="0.25">
      <c r="B161" s="13">
        <v>14.7</v>
      </c>
      <c r="C161" s="56" t="s">
        <v>151</v>
      </c>
      <c r="D161" s="32" t="s">
        <v>344</v>
      </c>
      <c r="E161" s="32">
        <v>1</v>
      </c>
      <c r="F161" s="33">
        <v>1</v>
      </c>
      <c r="G161" s="14">
        <f t="shared" si="13"/>
        <v>1</v>
      </c>
    </row>
    <row r="162" spans="2:7" ht="27.6" x14ac:dyDescent="0.25">
      <c r="B162" s="13">
        <v>14.8</v>
      </c>
      <c r="C162" s="56" t="s">
        <v>152</v>
      </c>
      <c r="D162" s="32" t="s">
        <v>344</v>
      </c>
      <c r="E162" s="32">
        <v>1</v>
      </c>
      <c r="F162" s="33">
        <v>1</v>
      </c>
      <c r="G162" s="14">
        <f t="shared" si="13"/>
        <v>1</v>
      </c>
    </row>
    <row r="163" spans="2:7" ht="27.6" x14ac:dyDescent="0.25">
      <c r="B163" s="13">
        <v>14.9</v>
      </c>
      <c r="C163" s="56" t="s">
        <v>153</v>
      </c>
      <c r="D163" s="32" t="s">
        <v>344</v>
      </c>
      <c r="E163" s="32">
        <v>1</v>
      </c>
      <c r="F163" s="33">
        <v>1</v>
      </c>
      <c r="G163" s="14">
        <f t="shared" si="13"/>
        <v>1</v>
      </c>
    </row>
    <row r="164" spans="2:7" ht="27.6" x14ac:dyDescent="0.25">
      <c r="B164" s="34">
        <v>14.1</v>
      </c>
      <c r="C164" s="57" t="s">
        <v>154</v>
      </c>
      <c r="D164" s="16" t="s">
        <v>344</v>
      </c>
      <c r="E164" s="16">
        <v>1</v>
      </c>
      <c r="F164" s="17">
        <v>1</v>
      </c>
      <c r="G164" s="18">
        <f t="shared" si="13"/>
        <v>1</v>
      </c>
    </row>
    <row r="166" spans="2:7" x14ac:dyDescent="0.25">
      <c r="B166" s="10">
        <v>15</v>
      </c>
      <c r="C166" s="55" t="s">
        <v>155</v>
      </c>
      <c r="D166" s="11"/>
      <c r="E166" s="11"/>
      <c r="F166" s="12"/>
      <c r="G166" s="58">
        <f>SUM(G167:G176)</f>
        <v>10</v>
      </c>
    </row>
    <row r="167" spans="2:7" ht="27.6" x14ac:dyDescent="0.25">
      <c r="B167" s="13">
        <v>15.1</v>
      </c>
      <c r="C167" s="56" t="s">
        <v>156</v>
      </c>
      <c r="D167" s="32" t="s">
        <v>344</v>
      </c>
      <c r="E167" s="32">
        <v>1</v>
      </c>
      <c r="F167" s="33">
        <v>1</v>
      </c>
      <c r="G167" s="14">
        <f>E167*F167</f>
        <v>1</v>
      </c>
    </row>
    <row r="168" spans="2:7" ht="27.6" x14ac:dyDescent="0.25">
      <c r="B168" s="13">
        <v>15.2</v>
      </c>
      <c r="C168" s="56" t="s">
        <v>157</v>
      </c>
      <c r="D168" s="32" t="s">
        <v>344</v>
      </c>
      <c r="E168" s="32">
        <v>1</v>
      </c>
      <c r="F168" s="33">
        <v>1</v>
      </c>
      <c r="G168" s="14">
        <f t="shared" ref="G168:G176" si="14">E168*F168</f>
        <v>1</v>
      </c>
    </row>
    <row r="169" spans="2:7" ht="27.6" x14ac:dyDescent="0.25">
      <c r="B169" s="13">
        <v>15.3</v>
      </c>
      <c r="C169" s="56" t="s">
        <v>158</v>
      </c>
      <c r="D169" s="32" t="s">
        <v>344</v>
      </c>
      <c r="E169" s="32">
        <v>1</v>
      </c>
      <c r="F169" s="33">
        <v>1</v>
      </c>
      <c r="G169" s="14">
        <f t="shared" si="14"/>
        <v>1</v>
      </c>
    </row>
    <row r="170" spans="2:7" ht="27.6" x14ac:dyDescent="0.25">
      <c r="B170" s="13">
        <v>15.4</v>
      </c>
      <c r="C170" s="56" t="s">
        <v>159</v>
      </c>
      <c r="D170" s="32" t="s">
        <v>344</v>
      </c>
      <c r="E170" s="32">
        <v>1</v>
      </c>
      <c r="F170" s="33">
        <v>1</v>
      </c>
      <c r="G170" s="14">
        <f t="shared" si="14"/>
        <v>1</v>
      </c>
    </row>
    <row r="171" spans="2:7" ht="27.6" x14ac:dyDescent="0.25">
      <c r="B171" s="13">
        <v>15.5</v>
      </c>
      <c r="C171" s="56" t="s">
        <v>160</v>
      </c>
      <c r="D171" s="32" t="s">
        <v>344</v>
      </c>
      <c r="E171" s="32">
        <v>1</v>
      </c>
      <c r="F171" s="33">
        <v>1</v>
      </c>
      <c r="G171" s="14">
        <f t="shared" si="14"/>
        <v>1</v>
      </c>
    </row>
    <row r="172" spans="2:7" ht="27.6" x14ac:dyDescent="0.25">
      <c r="B172" s="13">
        <v>15.6</v>
      </c>
      <c r="C172" s="56" t="s">
        <v>161</v>
      </c>
      <c r="D172" s="32" t="s">
        <v>344</v>
      </c>
      <c r="E172" s="32">
        <v>1</v>
      </c>
      <c r="F172" s="33">
        <v>1</v>
      </c>
      <c r="G172" s="14">
        <f t="shared" si="14"/>
        <v>1</v>
      </c>
    </row>
    <row r="173" spans="2:7" ht="27.6" x14ac:dyDescent="0.25">
      <c r="B173" s="13">
        <v>15.7</v>
      </c>
      <c r="C173" s="56" t="s">
        <v>162</v>
      </c>
      <c r="D173" s="32" t="s">
        <v>344</v>
      </c>
      <c r="E173" s="32">
        <v>1</v>
      </c>
      <c r="F173" s="33">
        <v>1</v>
      </c>
      <c r="G173" s="14">
        <f t="shared" si="14"/>
        <v>1</v>
      </c>
    </row>
    <row r="174" spans="2:7" ht="27.6" x14ac:dyDescent="0.25">
      <c r="B174" s="13">
        <v>15.8</v>
      </c>
      <c r="C174" s="56" t="s">
        <v>163</v>
      </c>
      <c r="D174" s="32" t="s">
        <v>344</v>
      </c>
      <c r="E174" s="32">
        <v>1</v>
      </c>
      <c r="F174" s="33">
        <v>1</v>
      </c>
      <c r="G174" s="14">
        <f t="shared" si="14"/>
        <v>1</v>
      </c>
    </row>
    <row r="175" spans="2:7" ht="27.6" x14ac:dyDescent="0.25">
      <c r="B175" s="13">
        <v>15.9</v>
      </c>
      <c r="C175" s="56" t="s">
        <v>164</v>
      </c>
      <c r="D175" s="32" t="s">
        <v>344</v>
      </c>
      <c r="E175" s="32">
        <v>1</v>
      </c>
      <c r="F175" s="33">
        <v>1</v>
      </c>
      <c r="G175" s="14">
        <f t="shared" si="14"/>
        <v>1</v>
      </c>
    </row>
    <row r="176" spans="2:7" ht="27.6" x14ac:dyDescent="0.25">
      <c r="B176" s="34">
        <v>15.1</v>
      </c>
      <c r="C176" s="57" t="s">
        <v>165</v>
      </c>
      <c r="D176" s="16" t="s">
        <v>344</v>
      </c>
      <c r="E176" s="16">
        <v>1</v>
      </c>
      <c r="F176" s="17">
        <v>1</v>
      </c>
      <c r="G176" s="18">
        <f t="shared" si="14"/>
        <v>1</v>
      </c>
    </row>
    <row r="178" spans="2:7" x14ac:dyDescent="0.25">
      <c r="B178" s="10">
        <v>16</v>
      </c>
      <c r="C178" s="55" t="s">
        <v>166</v>
      </c>
      <c r="D178" s="11"/>
      <c r="E178" s="11"/>
      <c r="F178" s="12"/>
      <c r="G178" s="58">
        <f>SUM(G179:G188)</f>
        <v>10</v>
      </c>
    </row>
    <row r="179" spans="2:7" ht="27.6" x14ac:dyDescent="0.25">
      <c r="B179" s="13">
        <v>16.100000000000001</v>
      </c>
      <c r="C179" s="56" t="s">
        <v>167</v>
      </c>
      <c r="D179" s="32" t="s">
        <v>346</v>
      </c>
      <c r="E179" s="32">
        <v>1</v>
      </c>
      <c r="F179" s="33">
        <v>1</v>
      </c>
      <c r="G179" s="14">
        <f>E179*F179</f>
        <v>1</v>
      </c>
    </row>
    <row r="180" spans="2:7" ht="27.6" x14ac:dyDescent="0.25">
      <c r="B180" s="13">
        <v>16.2</v>
      </c>
      <c r="C180" s="56" t="s">
        <v>168</v>
      </c>
      <c r="D180" s="32" t="s">
        <v>346</v>
      </c>
      <c r="E180" s="32">
        <v>1</v>
      </c>
      <c r="F180" s="33">
        <v>1</v>
      </c>
      <c r="G180" s="14">
        <f t="shared" ref="G180:G188" si="15">E180*F180</f>
        <v>1</v>
      </c>
    </row>
    <row r="181" spans="2:7" ht="27.6" x14ac:dyDescent="0.25">
      <c r="B181" s="13">
        <v>16.3</v>
      </c>
      <c r="C181" s="56" t="s">
        <v>169</v>
      </c>
      <c r="D181" s="32" t="s">
        <v>346</v>
      </c>
      <c r="E181" s="32">
        <v>1</v>
      </c>
      <c r="F181" s="33">
        <v>1</v>
      </c>
      <c r="G181" s="14">
        <f t="shared" si="15"/>
        <v>1</v>
      </c>
    </row>
    <row r="182" spans="2:7" ht="27.6" x14ac:dyDescent="0.25">
      <c r="B182" s="13">
        <v>16.399999999999999</v>
      </c>
      <c r="C182" s="56" t="s">
        <v>170</v>
      </c>
      <c r="D182" s="32" t="s">
        <v>344</v>
      </c>
      <c r="E182" s="32">
        <v>1</v>
      </c>
      <c r="F182" s="33">
        <v>1</v>
      </c>
      <c r="G182" s="14">
        <f t="shared" si="15"/>
        <v>1</v>
      </c>
    </row>
    <row r="183" spans="2:7" ht="27.6" x14ac:dyDescent="0.25">
      <c r="B183" s="13">
        <v>16.5</v>
      </c>
      <c r="C183" s="56" t="s">
        <v>171</v>
      </c>
      <c r="D183" s="32" t="s">
        <v>344</v>
      </c>
      <c r="E183" s="32">
        <v>1</v>
      </c>
      <c r="F183" s="33">
        <v>1</v>
      </c>
      <c r="G183" s="14">
        <f t="shared" si="15"/>
        <v>1</v>
      </c>
    </row>
    <row r="184" spans="2:7" ht="27.6" x14ac:dyDescent="0.25">
      <c r="B184" s="13">
        <v>16.600000000000001</v>
      </c>
      <c r="C184" s="56" t="s">
        <v>172</v>
      </c>
      <c r="D184" s="32" t="s">
        <v>344</v>
      </c>
      <c r="E184" s="32">
        <v>1</v>
      </c>
      <c r="F184" s="33">
        <v>1</v>
      </c>
      <c r="G184" s="14">
        <f t="shared" si="15"/>
        <v>1</v>
      </c>
    </row>
    <row r="185" spans="2:7" ht="27.6" x14ac:dyDescent="0.25">
      <c r="B185" s="13">
        <v>16.7</v>
      </c>
      <c r="C185" s="56" t="s">
        <v>173</v>
      </c>
      <c r="D185" s="32" t="s">
        <v>346</v>
      </c>
      <c r="E185" s="32">
        <v>1</v>
      </c>
      <c r="F185" s="33">
        <v>1</v>
      </c>
      <c r="G185" s="14">
        <f t="shared" si="15"/>
        <v>1</v>
      </c>
    </row>
    <row r="186" spans="2:7" ht="27.6" x14ac:dyDescent="0.25">
      <c r="B186" s="13">
        <v>16.8</v>
      </c>
      <c r="C186" s="56" t="s">
        <v>174</v>
      </c>
      <c r="D186" s="32" t="s">
        <v>346</v>
      </c>
      <c r="E186" s="32">
        <v>1</v>
      </c>
      <c r="F186" s="33">
        <v>1</v>
      </c>
      <c r="G186" s="14">
        <f t="shared" si="15"/>
        <v>1</v>
      </c>
    </row>
    <row r="187" spans="2:7" ht="27.6" x14ac:dyDescent="0.25">
      <c r="B187" s="13">
        <v>16.899999999999999</v>
      </c>
      <c r="C187" s="56" t="s">
        <v>175</v>
      </c>
      <c r="D187" s="32" t="s">
        <v>344</v>
      </c>
      <c r="E187" s="32">
        <v>1</v>
      </c>
      <c r="F187" s="33">
        <v>1</v>
      </c>
      <c r="G187" s="14">
        <f t="shared" si="15"/>
        <v>1</v>
      </c>
    </row>
    <row r="188" spans="2:7" ht="27.6" x14ac:dyDescent="0.25">
      <c r="B188" s="34">
        <v>16.100000000000001</v>
      </c>
      <c r="C188" s="57" t="s">
        <v>176</v>
      </c>
      <c r="D188" s="16" t="s">
        <v>346</v>
      </c>
      <c r="E188" s="16">
        <v>1</v>
      </c>
      <c r="F188" s="17">
        <v>1</v>
      </c>
      <c r="G188" s="18">
        <f t="shared" si="15"/>
        <v>1</v>
      </c>
    </row>
    <row r="190" spans="2:7" x14ac:dyDescent="0.25">
      <c r="B190" s="10">
        <v>17</v>
      </c>
      <c r="C190" s="55" t="s">
        <v>177</v>
      </c>
      <c r="D190" s="11"/>
      <c r="E190" s="11"/>
      <c r="F190" s="12"/>
      <c r="G190" s="58">
        <f>SUM(G191:G203)</f>
        <v>13</v>
      </c>
    </row>
    <row r="191" spans="2:7" ht="27.6" x14ac:dyDescent="0.25">
      <c r="B191" s="13">
        <v>17.100000000000001</v>
      </c>
      <c r="C191" s="56" t="s">
        <v>178</v>
      </c>
      <c r="D191" s="32" t="s">
        <v>346</v>
      </c>
      <c r="E191" s="32">
        <v>1</v>
      </c>
      <c r="F191" s="33">
        <v>1</v>
      </c>
      <c r="G191" s="14">
        <f>E191*F191</f>
        <v>1</v>
      </c>
    </row>
    <row r="192" spans="2:7" ht="27.6" x14ac:dyDescent="0.25">
      <c r="B192" s="13">
        <v>17.2</v>
      </c>
      <c r="C192" s="56" t="s">
        <v>179</v>
      </c>
      <c r="D192" s="32" t="s">
        <v>346</v>
      </c>
      <c r="E192" s="32">
        <v>1</v>
      </c>
      <c r="F192" s="33">
        <v>1</v>
      </c>
      <c r="G192" s="14">
        <f t="shared" ref="G192:G203" si="16">E192*F192</f>
        <v>1</v>
      </c>
    </row>
    <row r="193" spans="2:7" ht="27.6" x14ac:dyDescent="0.25">
      <c r="B193" s="13">
        <v>17.3</v>
      </c>
      <c r="C193" s="56" t="s">
        <v>180</v>
      </c>
      <c r="D193" s="32" t="s">
        <v>344</v>
      </c>
      <c r="E193" s="32">
        <v>1</v>
      </c>
      <c r="F193" s="33">
        <v>1</v>
      </c>
      <c r="G193" s="14">
        <f t="shared" si="16"/>
        <v>1</v>
      </c>
    </row>
    <row r="194" spans="2:7" ht="27.6" x14ac:dyDescent="0.25">
      <c r="B194" s="13">
        <v>17.399999999999999</v>
      </c>
      <c r="C194" s="56" t="s">
        <v>181</v>
      </c>
      <c r="D194" s="32" t="s">
        <v>344</v>
      </c>
      <c r="E194" s="32">
        <v>1</v>
      </c>
      <c r="F194" s="33">
        <v>1</v>
      </c>
      <c r="G194" s="14">
        <f t="shared" si="16"/>
        <v>1</v>
      </c>
    </row>
    <row r="195" spans="2:7" x14ac:dyDescent="0.25">
      <c r="B195" s="13">
        <v>17.5</v>
      </c>
      <c r="C195" s="56" t="s">
        <v>182</v>
      </c>
      <c r="D195" s="32" t="s">
        <v>344</v>
      </c>
      <c r="E195" s="32">
        <v>1</v>
      </c>
      <c r="F195" s="33">
        <v>1</v>
      </c>
      <c r="G195" s="14">
        <f t="shared" si="16"/>
        <v>1</v>
      </c>
    </row>
    <row r="196" spans="2:7" ht="27.6" x14ac:dyDescent="0.25">
      <c r="B196" s="13">
        <v>17.600000000000001</v>
      </c>
      <c r="C196" s="56" t="s">
        <v>183</v>
      </c>
      <c r="D196" s="32" t="s">
        <v>344</v>
      </c>
      <c r="E196" s="32">
        <v>1</v>
      </c>
      <c r="F196" s="33">
        <v>1</v>
      </c>
      <c r="G196" s="14">
        <f t="shared" si="16"/>
        <v>1</v>
      </c>
    </row>
    <row r="197" spans="2:7" ht="27.6" x14ac:dyDescent="0.25">
      <c r="B197" s="13">
        <v>17.7</v>
      </c>
      <c r="C197" s="56" t="s">
        <v>184</v>
      </c>
      <c r="D197" s="32" t="s">
        <v>344</v>
      </c>
      <c r="E197" s="32">
        <v>1</v>
      </c>
      <c r="F197" s="33">
        <v>1</v>
      </c>
      <c r="G197" s="14">
        <f t="shared" si="16"/>
        <v>1</v>
      </c>
    </row>
    <row r="198" spans="2:7" ht="27.6" x14ac:dyDescent="0.25">
      <c r="B198" s="13">
        <v>17.8</v>
      </c>
      <c r="C198" s="56" t="s">
        <v>185</v>
      </c>
      <c r="D198" s="32" t="s">
        <v>344</v>
      </c>
      <c r="E198" s="32">
        <v>1</v>
      </c>
      <c r="F198" s="33">
        <v>1</v>
      </c>
      <c r="G198" s="14">
        <f t="shared" si="16"/>
        <v>1</v>
      </c>
    </row>
    <row r="199" spans="2:7" ht="27.6" x14ac:dyDescent="0.25">
      <c r="B199" s="13">
        <v>17.899999999999999</v>
      </c>
      <c r="C199" s="56" t="s">
        <v>186</v>
      </c>
      <c r="D199" s="32" t="s">
        <v>344</v>
      </c>
      <c r="E199" s="32">
        <v>1</v>
      </c>
      <c r="F199" s="33">
        <v>1</v>
      </c>
      <c r="G199" s="14">
        <f t="shared" si="16"/>
        <v>1</v>
      </c>
    </row>
    <row r="200" spans="2:7" ht="27.6" x14ac:dyDescent="0.25">
      <c r="B200" s="35">
        <v>17.100000000000001</v>
      </c>
      <c r="C200" s="56" t="s">
        <v>187</v>
      </c>
      <c r="D200" s="32" t="s">
        <v>344</v>
      </c>
      <c r="E200" s="32">
        <v>1</v>
      </c>
      <c r="F200" s="33">
        <v>1</v>
      </c>
      <c r="G200" s="14">
        <f t="shared" si="16"/>
        <v>1</v>
      </c>
    </row>
    <row r="201" spans="2:7" x14ac:dyDescent="0.25">
      <c r="B201" s="13">
        <v>17.11</v>
      </c>
      <c r="C201" s="56" t="s">
        <v>188</v>
      </c>
      <c r="D201" s="32" t="s">
        <v>344</v>
      </c>
      <c r="E201" s="32">
        <v>1</v>
      </c>
      <c r="F201" s="33">
        <v>1</v>
      </c>
      <c r="G201" s="14">
        <f t="shared" si="16"/>
        <v>1</v>
      </c>
    </row>
    <row r="202" spans="2:7" ht="27.6" x14ac:dyDescent="0.25">
      <c r="B202" s="13">
        <v>17.12</v>
      </c>
      <c r="C202" s="56" t="s">
        <v>189</v>
      </c>
      <c r="D202" s="32" t="s">
        <v>344</v>
      </c>
      <c r="E202" s="32">
        <v>1</v>
      </c>
      <c r="F202" s="33">
        <v>1</v>
      </c>
      <c r="G202" s="14">
        <f t="shared" si="16"/>
        <v>1</v>
      </c>
    </row>
    <row r="203" spans="2:7" ht="27.6" x14ac:dyDescent="0.25">
      <c r="B203" s="15">
        <v>17.13</v>
      </c>
      <c r="C203" s="57" t="s">
        <v>190</v>
      </c>
      <c r="D203" s="16" t="s">
        <v>344</v>
      </c>
      <c r="E203" s="16">
        <v>1</v>
      </c>
      <c r="F203" s="17">
        <v>1</v>
      </c>
      <c r="G203" s="18">
        <f t="shared" si="16"/>
        <v>1</v>
      </c>
    </row>
    <row r="205" spans="2:7" x14ac:dyDescent="0.25">
      <c r="B205" s="10">
        <v>18</v>
      </c>
      <c r="C205" s="55" t="s">
        <v>191</v>
      </c>
      <c r="D205" s="11"/>
      <c r="E205" s="11"/>
      <c r="F205" s="12"/>
      <c r="G205" s="58">
        <f>SUM(G206:G215)</f>
        <v>10</v>
      </c>
    </row>
    <row r="206" spans="2:7" ht="27.6" x14ac:dyDescent="0.25">
      <c r="B206" s="13">
        <v>18.100000000000001</v>
      </c>
      <c r="C206" s="56" t="s">
        <v>192</v>
      </c>
      <c r="D206" s="32" t="s">
        <v>345</v>
      </c>
      <c r="E206" s="32">
        <v>1</v>
      </c>
      <c r="F206" s="33">
        <v>1</v>
      </c>
      <c r="G206" s="14">
        <f>E206*F206</f>
        <v>1</v>
      </c>
    </row>
    <row r="207" spans="2:7" ht="27.6" x14ac:dyDescent="0.25">
      <c r="B207" s="13">
        <v>18.2</v>
      </c>
      <c r="C207" s="56" t="s">
        <v>193</v>
      </c>
      <c r="D207" s="32" t="s">
        <v>346</v>
      </c>
      <c r="E207" s="32">
        <v>1</v>
      </c>
      <c r="F207" s="33">
        <v>1</v>
      </c>
      <c r="G207" s="14">
        <f t="shared" ref="G207:G215" si="17">E207*F207</f>
        <v>1</v>
      </c>
    </row>
    <row r="208" spans="2:7" ht="27.6" x14ac:dyDescent="0.25">
      <c r="B208" s="13">
        <v>18.3</v>
      </c>
      <c r="C208" s="56" t="s">
        <v>194</v>
      </c>
      <c r="D208" s="32" t="s">
        <v>344</v>
      </c>
      <c r="E208" s="32">
        <v>1</v>
      </c>
      <c r="F208" s="33">
        <v>1</v>
      </c>
      <c r="G208" s="14">
        <f t="shared" si="17"/>
        <v>1</v>
      </c>
    </row>
    <row r="209" spans="2:7" ht="27.6" x14ac:dyDescent="0.25">
      <c r="B209" s="13">
        <v>18.399999999999999</v>
      </c>
      <c r="C209" s="56" t="s">
        <v>195</v>
      </c>
      <c r="D209" s="32" t="s">
        <v>344</v>
      </c>
      <c r="E209" s="32">
        <v>1</v>
      </c>
      <c r="F209" s="33">
        <v>1</v>
      </c>
      <c r="G209" s="14">
        <f t="shared" si="17"/>
        <v>1</v>
      </c>
    </row>
    <row r="210" spans="2:7" ht="27.6" x14ac:dyDescent="0.25">
      <c r="B210" s="13">
        <v>18.5</v>
      </c>
      <c r="C210" s="56" t="s">
        <v>196</v>
      </c>
      <c r="D210" s="32" t="s">
        <v>344</v>
      </c>
      <c r="E210" s="32">
        <v>1</v>
      </c>
      <c r="F210" s="33">
        <v>1</v>
      </c>
      <c r="G210" s="14">
        <f t="shared" si="17"/>
        <v>1</v>
      </c>
    </row>
    <row r="211" spans="2:7" ht="27.6" x14ac:dyDescent="0.25">
      <c r="B211" s="13">
        <v>18.600000000000001</v>
      </c>
      <c r="C211" s="56" t="s">
        <v>197</v>
      </c>
      <c r="D211" s="32" t="s">
        <v>344</v>
      </c>
      <c r="E211" s="32">
        <v>1</v>
      </c>
      <c r="F211" s="33">
        <v>1</v>
      </c>
      <c r="G211" s="14">
        <f t="shared" si="17"/>
        <v>1</v>
      </c>
    </row>
    <row r="212" spans="2:7" ht="27.6" x14ac:dyDescent="0.25">
      <c r="B212" s="13">
        <v>18.7</v>
      </c>
      <c r="C212" s="56" t="s">
        <v>198</v>
      </c>
      <c r="D212" s="32" t="s">
        <v>344</v>
      </c>
      <c r="E212" s="32">
        <v>1</v>
      </c>
      <c r="F212" s="33">
        <v>1</v>
      </c>
      <c r="G212" s="14">
        <f t="shared" si="17"/>
        <v>1</v>
      </c>
    </row>
    <row r="213" spans="2:7" ht="27.6" x14ac:dyDescent="0.25">
      <c r="B213" s="13">
        <v>18.8</v>
      </c>
      <c r="C213" s="56" t="s">
        <v>199</v>
      </c>
      <c r="D213" s="32" t="s">
        <v>344</v>
      </c>
      <c r="E213" s="32">
        <v>1</v>
      </c>
      <c r="F213" s="33">
        <v>1</v>
      </c>
      <c r="G213" s="14">
        <f t="shared" si="17"/>
        <v>1</v>
      </c>
    </row>
    <row r="214" spans="2:7" ht="27.6" x14ac:dyDescent="0.25">
      <c r="B214" s="13">
        <v>18.899999999999999</v>
      </c>
      <c r="C214" s="56" t="s">
        <v>200</v>
      </c>
      <c r="D214" s="32" t="s">
        <v>344</v>
      </c>
      <c r="E214" s="32">
        <v>1</v>
      </c>
      <c r="F214" s="33">
        <v>1</v>
      </c>
      <c r="G214" s="14">
        <f t="shared" si="17"/>
        <v>1</v>
      </c>
    </row>
    <row r="215" spans="2:7" ht="27.6" x14ac:dyDescent="0.25">
      <c r="B215" s="34">
        <v>18.100000000000001</v>
      </c>
      <c r="C215" s="57" t="s">
        <v>201</v>
      </c>
      <c r="D215" s="16" t="s">
        <v>344</v>
      </c>
      <c r="E215" s="16">
        <v>1</v>
      </c>
      <c r="F215" s="17">
        <v>1</v>
      </c>
      <c r="G215" s="18">
        <f t="shared" si="17"/>
        <v>1</v>
      </c>
    </row>
    <row r="217" spans="2:7" x14ac:dyDescent="0.25">
      <c r="B217" s="10">
        <v>19</v>
      </c>
      <c r="C217" s="55" t="s">
        <v>202</v>
      </c>
      <c r="D217" s="11"/>
      <c r="E217" s="11"/>
      <c r="F217" s="12"/>
      <c r="G217" s="58">
        <f>SUM(G218:G227)</f>
        <v>10</v>
      </c>
    </row>
    <row r="218" spans="2:7" ht="27.6" x14ac:dyDescent="0.25">
      <c r="B218" s="13">
        <v>19.100000000000001</v>
      </c>
      <c r="C218" s="56" t="s">
        <v>203</v>
      </c>
      <c r="D218" s="32" t="s">
        <v>344</v>
      </c>
      <c r="E218" s="32">
        <v>1</v>
      </c>
      <c r="F218" s="33">
        <v>1</v>
      </c>
      <c r="G218" s="14">
        <f>E218*F218</f>
        <v>1</v>
      </c>
    </row>
    <row r="219" spans="2:7" ht="27.6" x14ac:dyDescent="0.25">
      <c r="B219" s="13">
        <v>19.2</v>
      </c>
      <c r="C219" s="56" t="s">
        <v>204</v>
      </c>
      <c r="D219" s="32" t="s">
        <v>344</v>
      </c>
      <c r="E219" s="32">
        <v>1</v>
      </c>
      <c r="F219" s="33">
        <v>1</v>
      </c>
      <c r="G219" s="14">
        <f t="shared" ref="G219:G227" si="18">E219*F219</f>
        <v>1</v>
      </c>
    </row>
    <row r="220" spans="2:7" ht="27.6" x14ac:dyDescent="0.25">
      <c r="B220" s="13">
        <v>19.3</v>
      </c>
      <c r="C220" s="56" t="s">
        <v>205</v>
      </c>
      <c r="D220" s="32" t="s">
        <v>346</v>
      </c>
      <c r="E220" s="32">
        <v>1</v>
      </c>
      <c r="F220" s="33">
        <v>1</v>
      </c>
      <c r="G220" s="14">
        <f t="shared" si="18"/>
        <v>1</v>
      </c>
    </row>
    <row r="221" spans="2:7" ht="27.6" x14ac:dyDescent="0.25">
      <c r="B221" s="13">
        <v>19.399999999999999</v>
      </c>
      <c r="C221" s="56" t="s">
        <v>206</v>
      </c>
      <c r="D221" s="32" t="s">
        <v>344</v>
      </c>
      <c r="E221" s="32">
        <v>1</v>
      </c>
      <c r="F221" s="33">
        <v>1</v>
      </c>
      <c r="G221" s="14">
        <f t="shared" si="18"/>
        <v>1</v>
      </c>
    </row>
    <row r="222" spans="2:7" ht="27.6" x14ac:dyDescent="0.25">
      <c r="B222" s="13">
        <v>19.5</v>
      </c>
      <c r="C222" s="56" t="s">
        <v>207</v>
      </c>
      <c r="D222" s="32" t="s">
        <v>345</v>
      </c>
      <c r="E222" s="32">
        <v>1</v>
      </c>
      <c r="F222" s="33">
        <v>1</v>
      </c>
      <c r="G222" s="14">
        <f t="shared" si="18"/>
        <v>1</v>
      </c>
    </row>
    <row r="223" spans="2:7" ht="27.6" x14ac:dyDescent="0.25">
      <c r="B223" s="13">
        <v>19.600000000000001</v>
      </c>
      <c r="C223" s="56" t="s">
        <v>208</v>
      </c>
      <c r="D223" s="32" t="s">
        <v>344</v>
      </c>
      <c r="E223" s="32">
        <v>1</v>
      </c>
      <c r="F223" s="33">
        <v>1</v>
      </c>
      <c r="G223" s="14">
        <f t="shared" si="18"/>
        <v>1</v>
      </c>
    </row>
    <row r="224" spans="2:7" ht="27.6" x14ac:dyDescent="0.25">
      <c r="B224" s="13">
        <v>19.7</v>
      </c>
      <c r="C224" s="56" t="s">
        <v>209</v>
      </c>
      <c r="D224" s="32" t="s">
        <v>343</v>
      </c>
      <c r="E224" s="32">
        <v>1</v>
      </c>
      <c r="F224" s="33">
        <v>1</v>
      </c>
      <c r="G224" s="14">
        <f t="shared" si="18"/>
        <v>1</v>
      </c>
    </row>
    <row r="225" spans="2:7" ht="27.6" x14ac:dyDescent="0.25">
      <c r="B225" s="13">
        <v>19.8</v>
      </c>
      <c r="C225" s="56" t="s">
        <v>210</v>
      </c>
      <c r="D225" s="32" t="s">
        <v>346</v>
      </c>
      <c r="E225" s="32">
        <v>1</v>
      </c>
      <c r="F225" s="33">
        <v>1</v>
      </c>
      <c r="G225" s="14">
        <f t="shared" si="18"/>
        <v>1</v>
      </c>
    </row>
    <row r="226" spans="2:7" ht="27.6" x14ac:dyDescent="0.25">
      <c r="B226" s="13">
        <v>19.899999999999999</v>
      </c>
      <c r="C226" s="56" t="s">
        <v>211</v>
      </c>
      <c r="D226" s="32" t="s">
        <v>344</v>
      </c>
      <c r="E226" s="32">
        <v>1</v>
      </c>
      <c r="F226" s="33">
        <v>1</v>
      </c>
      <c r="G226" s="14">
        <f t="shared" si="18"/>
        <v>1</v>
      </c>
    </row>
    <row r="227" spans="2:7" ht="27.6" x14ac:dyDescent="0.25">
      <c r="B227" s="34">
        <v>19.100000000000001</v>
      </c>
      <c r="C227" s="57" t="s">
        <v>212</v>
      </c>
      <c r="D227" s="16" t="s">
        <v>344</v>
      </c>
      <c r="E227" s="16">
        <v>1</v>
      </c>
      <c r="F227" s="17">
        <v>1</v>
      </c>
      <c r="G227" s="18">
        <f t="shared" si="18"/>
        <v>1</v>
      </c>
    </row>
    <row r="229" spans="2:7" x14ac:dyDescent="0.25">
      <c r="B229" s="10">
        <v>20</v>
      </c>
      <c r="C229" s="55" t="s">
        <v>213</v>
      </c>
      <c r="D229" s="11"/>
      <c r="E229" s="11"/>
      <c r="F229" s="12"/>
      <c r="G229" s="58">
        <f>SUM(G230:G239)</f>
        <v>10</v>
      </c>
    </row>
    <row r="230" spans="2:7" ht="27.6" x14ac:dyDescent="0.25">
      <c r="B230" s="13">
        <v>20.100000000000001</v>
      </c>
      <c r="C230" s="56" t="s">
        <v>214</v>
      </c>
      <c r="D230" s="32" t="s">
        <v>345</v>
      </c>
      <c r="E230" s="32">
        <v>1</v>
      </c>
      <c r="F230" s="33">
        <v>1</v>
      </c>
      <c r="G230" s="14">
        <f>E230*F230</f>
        <v>1</v>
      </c>
    </row>
    <row r="231" spans="2:7" ht="27.6" x14ac:dyDescent="0.25">
      <c r="B231" s="13">
        <v>20.2</v>
      </c>
      <c r="C231" s="56" t="s">
        <v>215</v>
      </c>
      <c r="D231" s="32" t="s">
        <v>344</v>
      </c>
      <c r="E231" s="32">
        <v>1</v>
      </c>
      <c r="F231" s="33">
        <v>1</v>
      </c>
      <c r="G231" s="14">
        <f t="shared" ref="G231:G239" si="19">E231*F231</f>
        <v>1</v>
      </c>
    </row>
    <row r="232" spans="2:7" ht="27.6" x14ac:dyDescent="0.25">
      <c r="B232" s="13">
        <v>20.3</v>
      </c>
      <c r="C232" s="56" t="s">
        <v>216</v>
      </c>
      <c r="D232" s="32" t="s">
        <v>344</v>
      </c>
      <c r="E232" s="32">
        <v>1</v>
      </c>
      <c r="F232" s="33">
        <v>1</v>
      </c>
      <c r="G232" s="14">
        <f t="shared" si="19"/>
        <v>1</v>
      </c>
    </row>
    <row r="233" spans="2:7" ht="27.6" x14ac:dyDescent="0.25">
      <c r="B233" s="13">
        <v>20.399999999999999</v>
      </c>
      <c r="C233" s="56" t="s">
        <v>217</v>
      </c>
      <c r="D233" s="32" t="s">
        <v>344</v>
      </c>
      <c r="E233" s="32">
        <v>1</v>
      </c>
      <c r="F233" s="33">
        <v>1</v>
      </c>
      <c r="G233" s="14">
        <f t="shared" si="19"/>
        <v>1</v>
      </c>
    </row>
    <row r="234" spans="2:7" ht="27.6" x14ac:dyDescent="0.25">
      <c r="B234" s="13">
        <v>20.5</v>
      </c>
      <c r="C234" s="56" t="s">
        <v>218</v>
      </c>
      <c r="D234" s="32" t="s">
        <v>345</v>
      </c>
      <c r="E234" s="32">
        <v>1</v>
      </c>
      <c r="F234" s="33">
        <v>1</v>
      </c>
      <c r="G234" s="14">
        <f t="shared" si="19"/>
        <v>1</v>
      </c>
    </row>
    <row r="235" spans="2:7" ht="27.6" x14ac:dyDescent="0.25">
      <c r="B235" s="13">
        <v>20.6</v>
      </c>
      <c r="C235" s="56" t="s">
        <v>219</v>
      </c>
      <c r="D235" s="32" t="s">
        <v>345</v>
      </c>
      <c r="E235" s="32">
        <v>1</v>
      </c>
      <c r="F235" s="33">
        <v>1</v>
      </c>
      <c r="G235" s="14">
        <f t="shared" si="19"/>
        <v>1</v>
      </c>
    </row>
    <row r="236" spans="2:7" ht="27.6" x14ac:dyDescent="0.25">
      <c r="B236" s="13">
        <v>20.7</v>
      </c>
      <c r="C236" s="56" t="s">
        <v>220</v>
      </c>
      <c r="D236" s="32" t="s">
        <v>345</v>
      </c>
      <c r="E236" s="32">
        <v>1</v>
      </c>
      <c r="F236" s="33">
        <v>1</v>
      </c>
      <c r="G236" s="14">
        <f t="shared" si="19"/>
        <v>1</v>
      </c>
    </row>
    <row r="237" spans="2:7" ht="27.6" x14ac:dyDescent="0.25">
      <c r="B237" s="13">
        <v>20.8</v>
      </c>
      <c r="C237" s="56" t="s">
        <v>221</v>
      </c>
      <c r="D237" s="32" t="s">
        <v>344</v>
      </c>
      <c r="E237" s="32">
        <v>1</v>
      </c>
      <c r="F237" s="33">
        <v>1</v>
      </c>
      <c r="G237" s="14">
        <f t="shared" si="19"/>
        <v>1</v>
      </c>
    </row>
    <row r="238" spans="2:7" ht="27.6" x14ac:dyDescent="0.25">
      <c r="B238" s="13">
        <v>20.9</v>
      </c>
      <c r="C238" s="56" t="s">
        <v>222</v>
      </c>
      <c r="D238" s="32" t="s">
        <v>344</v>
      </c>
      <c r="E238" s="32">
        <v>1</v>
      </c>
      <c r="F238" s="33">
        <v>1</v>
      </c>
      <c r="G238" s="14">
        <f t="shared" si="19"/>
        <v>1</v>
      </c>
    </row>
    <row r="239" spans="2:7" ht="27.6" x14ac:dyDescent="0.25">
      <c r="B239" s="34">
        <v>20.100000000000001</v>
      </c>
      <c r="C239" s="57" t="s">
        <v>223</v>
      </c>
      <c r="D239" s="16" t="s">
        <v>344</v>
      </c>
      <c r="E239" s="16">
        <v>1</v>
      </c>
      <c r="F239" s="17">
        <v>1</v>
      </c>
      <c r="G239" s="18">
        <f t="shared" si="19"/>
        <v>1</v>
      </c>
    </row>
    <row r="241" spans="2:7" x14ac:dyDescent="0.25">
      <c r="B241" s="10">
        <v>21</v>
      </c>
      <c r="C241" s="55" t="s">
        <v>224</v>
      </c>
      <c r="D241" s="11"/>
      <c r="E241" s="11"/>
      <c r="F241" s="12"/>
      <c r="G241" s="58">
        <f>SUM(G242:G255)</f>
        <v>14</v>
      </c>
    </row>
    <row r="242" spans="2:7" ht="27.6" x14ac:dyDescent="0.25">
      <c r="B242" s="13">
        <v>21.1</v>
      </c>
      <c r="C242" s="56" t="s">
        <v>225</v>
      </c>
      <c r="D242" s="32" t="s">
        <v>345</v>
      </c>
      <c r="E242" s="32">
        <v>1</v>
      </c>
      <c r="F242" s="33">
        <v>1</v>
      </c>
      <c r="G242" s="14">
        <f>E242*F242</f>
        <v>1</v>
      </c>
    </row>
    <row r="243" spans="2:7" ht="27.6" x14ac:dyDescent="0.25">
      <c r="B243" s="13">
        <v>21.2</v>
      </c>
      <c r="C243" s="56" t="s">
        <v>226</v>
      </c>
      <c r="D243" s="32" t="s">
        <v>345</v>
      </c>
      <c r="E243" s="32">
        <v>1</v>
      </c>
      <c r="F243" s="33">
        <v>1</v>
      </c>
      <c r="G243" s="14">
        <f t="shared" ref="G243:G255" si="20">E243*F243</f>
        <v>1</v>
      </c>
    </row>
    <row r="244" spans="2:7" ht="27.6" x14ac:dyDescent="0.25">
      <c r="B244" s="13">
        <v>21.3</v>
      </c>
      <c r="C244" s="56" t="s">
        <v>227</v>
      </c>
      <c r="D244" s="32" t="s">
        <v>345</v>
      </c>
      <c r="E244" s="32">
        <v>1</v>
      </c>
      <c r="F244" s="33">
        <v>1</v>
      </c>
      <c r="G244" s="14">
        <f t="shared" si="20"/>
        <v>1</v>
      </c>
    </row>
    <row r="245" spans="2:7" ht="27.6" x14ac:dyDescent="0.25">
      <c r="B245" s="13">
        <v>21.4</v>
      </c>
      <c r="C245" s="56" t="s">
        <v>228</v>
      </c>
      <c r="D245" s="32" t="s">
        <v>345</v>
      </c>
      <c r="E245" s="32">
        <v>1</v>
      </c>
      <c r="F245" s="33">
        <v>1</v>
      </c>
      <c r="G245" s="14">
        <f t="shared" si="20"/>
        <v>1</v>
      </c>
    </row>
    <row r="246" spans="2:7" ht="27.6" x14ac:dyDescent="0.25">
      <c r="B246" s="13">
        <v>21.5</v>
      </c>
      <c r="C246" s="56" t="s">
        <v>229</v>
      </c>
      <c r="D246" s="32" t="s">
        <v>345</v>
      </c>
      <c r="E246" s="32">
        <v>1</v>
      </c>
      <c r="F246" s="33">
        <v>1</v>
      </c>
      <c r="G246" s="14">
        <f t="shared" si="20"/>
        <v>1</v>
      </c>
    </row>
    <row r="247" spans="2:7" ht="27.6" x14ac:dyDescent="0.25">
      <c r="B247" s="13">
        <v>21.6</v>
      </c>
      <c r="C247" s="56" t="s">
        <v>230</v>
      </c>
      <c r="D247" s="32" t="s">
        <v>345</v>
      </c>
      <c r="E247" s="32">
        <v>1</v>
      </c>
      <c r="F247" s="33">
        <v>1</v>
      </c>
      <c r="G247" s="14">
        <f t="shared" si="20"/>
        <v>1</v>
      </c>
    </row>
    <row r="248" spans="2:7" x14ac:dyDescent="0.25">
      <c r="B248" s="13">
        <v>21.7</v>
      </c>
      <c r="C248" s="56" t="s">
        <v>231</v>
      </c>
      <c r="D248" s="32" t="s">
        <v>346</v>
      </c>
      <c r="E248" s="32">
        <v>1</v>
      </c>
      <c r="F248" s="33">
        <v>1</v>
      </c>
      <c r="G248" s="14">
        <f t="shared" si="20"/>
        <v>1</v>
      </c>
    </row>
    <row r="249" spans="2:7" ht="27.6" x14ac:dyDescent="0.25">
      <c r="B249" s="13">
        <v>21.8</v>
      </c>
      <c r="C249" s="56" t="s">
        <v>232</v>
      </c>
      <c r="D249" s="32" t="s">
        <v>345</v>
      </c>
      <c r="E249" s="32">
        <v>1</v>
      </c>
      <c r="F249" s="33">
        <v>1</v>
      </c>
      <c r="G249" s="14">
        <f t="shared" si="20"/>
        <v>1</v>
      </c>
    </row>
    <row r="250" spans="2:7" ht="27.6" x14ac:dyDescent="0.25">
      <c r="B250" s="13">
        <v>21.9</v>
      </c>
      <c r="C250" s="56" t="s">
        <v>233</v>
      </c>
      <c r="D250" s="32" t="s">
        <v>344</v>
      </c>
      <c r="E250" s="32">
        <v>1</v>
      </c>
      <c r="F250" s="33">
        <v>1</v>
      </c>
      <c r="G250" s="14">
        <f t="shared" si="20"/>
        <v>1</v>
      </c>
    </row>
    <row r="251" spans="2:7" ht="27.6" x14ac:dyDescent="0.25">
      <c r="B251" s="35">
        <v>21.1</v>
      </c>
      <c r="C251" s="56" t="s">
        <v>234</v>
      </c>
      <c r="D251" s="32" t="s">
        <v>344</v>
      </c>
      <c r="E251" s="32">
        <v>1</v>
      </c>
      <c r="F251" s="33">
        <v>1</v>
      </c>
      <c r="G251" s="14">
        <f t="shared" si="20"/>
        <v>1</v>
      </c>
    </row>
    <row r="252" spans="2:7" x14ac:dyDescent="0.25">
      <c r="B252" s="13">
        <v>21.11</v>
      </c>
      <c r="C252" s="56" t="s">
        <v>235</v>
      </c>
      <c r="D252" s="32" t="s">
        <v>345</v>
      </c>
      <c r="E252" s="32">
        <v>1</v>
      </c>
      <c r="F252" s="33">
        <v>1</v>
      </c>
      <c r="G252" s="14">
        <f t="shared" si="20"/>
        <v>1</v>
      </c>
    </row>
    <row r="253" spans="2:7" ht="27.6" x14ac:dyDescent="0.25">
      <c r="B253" s="13">
        <v>21.12</v>
      </c>
      <c r="C253" s="56" t="s">
        <v>236</v>
      </c>
      <c r="D253" s="32" t="s">
        <v>344</v>
      </c>
      <c r="E253" s="32">
        <v>1</v>
      </c>
      <c r="F253" s="33">
        <v>1</v>
      </c>
      <c r="G253" s="14">
        <f t="shared" si="20"/>
        <v>1</v>
      </c>
    </row>
    <row r="254" spans="2:7" ht="27.6" x14ac:dyDescent="0.25">
      <c r="B254" s="13">
        <v>21.13</v>
      </c>
      <c r="C254" s="56" t="s">
        <v>237</v>
      </c>
      <c r="D254" s="32" t="s">
        <v>344</v>
      </c>
      <c r="E254" s="32">
        <v>1</v>
      </c>
      <c r="F254" s="33">
        <v>1</v>
      </c>
      <c r="G254" s="14">
        <f t="shared" si="20"/>
        <v>1</v>
      </c>
    </row>
    <row r="255" spans="2:7" ht="27.6" x14ac:dyDescent="0.25">
      <c r="B255" s="15">
        <v>21.14</v>
      </c>
      <c r="C255" s="57" t="s">
        <v>238</v>
      </c>
      <c r="D255" s="16" t="s">
        <v>345</v>
      </c>
      <c r="E255" s="16">
        <v>1</v>
      </c>
      <c r="F255" s="17">
        <v>1</v>
      </c>
      <c r="G255" s="18">
        <f t="shared" si="20"/>
        <v>1</v>
      </c>
    </row>
    <row r="257" spans="2:7" x14ac:dyDescent="0.25">
      <c r="B257" s="10">
        <v>22</v>
      </c>
      <c r="C257" s="55" t="s">
        <v>239</v>
      </c>
      <c r="D257" s="11"/>
      <c r="E257" s="11"/>
      <c r="F257" s="12"/>
      <c r="G257" s="58">
        <f>SUM(G258:G267)</f>
        <v>10</v>
      </c>
    </row>
    <row r="258" spans="2:7" ht="27.6" x14ac:dyDescent="0.25">
      <c r="B258" s="13">
        <v>22.1</v>
      </c>
      <c r="C258" s="56" t="s">
        <v>240</v>
      </c>
      <c r="D258" s="32" t="s">
        <v>345</v>
      </c>
      <c r="E258" s="32">
        <v>1</v>
      </c>
      <c r="F258" s="33">
        <v>1</v>
      </c>
      <c r="G258" s="14">
        <f>E258*F258</f>
        <v>1</v>
      </c>
    </row>
    <row r="259" spans="2:7" ht="27.6" x14ac:dyDescent="0.25">
      <c r="B259" s="13">
        <v>22.2</v>
      </c>
      <c r="C259" s="56" t="s">
        <v>241</v>
      </c>
      <c r="D259" s="32" t="s">
        <v>345</v>
      </c>
      <c r="E259" s="32">
        <v>1</v>
      </c>
      <c r="F259" s="33">
        <v>1</v>
      </c>
      <c r="G259" s="14">
        <f t="shared" ref="G259:G267" si="21">E259*F259</f>
        <v>1</v>
      </c>
    </row>
    <row r="260" spans="2:7" ht="27.6" x14ac:dyDescent="0.25">
      <c r="B260" s="13">
        <v>22.3</v>
      </c>
      <c r="C260" s="56" t="s">
        <v>242</v>
      </c>
      <c r="D260" s="32" t="s">
        <v>346</v>
      </c>
      <c r="E260" s="32">
        <v>1</v>
      </c>
      <c r="F260" s="33">
        <v>1</v>
      </c>
      <c r="G260" s="14">
        <f t="shared" si="21"/>
        <v>1</v>
      </c>
    </row>
    <row r="261" spans="2:7" ht="27.6" x14ac:dyDescent="0.25">
      <c r="B261" s="13">
        <v>22.4</v>
      </c>
      <c r="C261" s="56" t="s">
        <v>243</v>
      </c>
      <c r="D261" s="32" t="s">
        <v>344</v>
      </c>
      <c r="E261" s="32">
        <v>1</v>
      </c>
      <c r="F261" s="33">
        <v>1</v>
      </c>
      <c r="G261" s="14">
        <f t="shared" si="21"/>
        <v>1</v>
      </c>
    </row>
    <row r="262" spans="2:7" ht="27.6" x14ac:dyDescent="0.25">
      <c r="B262" s="13">
        <v>22.5</v>
      </c>
      <c r="C262" s="56" t="s">
        <v>244</v>
      </c>
      <c r="D262" s="32" t="s">
        <v>345</v>
      </c>
      <c r="E262" s="32">
        <v>1</v>
      </c>
      <c r="F262" s="33">
        <v>1</v>
      </c>
      <c r="G262" s="14">
        <f t="shared" si="21"/>
        <v>1</v>
      </c>
    </row>
    <row r="263" spans="2:7" ht="27.6" x14ac:dyDescent="0.25">
      <c r="B263" s="13">
        <v>22.6</v>
      </c>
      <c r="C263" s="56" t="s">
        <v>245</v>
      </c>
      <c r="D263" s="32" t="s">
        <v>345</v>
      </c>
      <c r="E263" s="32">
        <v>1</v>
      </c>
      <c r="F263" s="33">
        <v>1</v>
      </c>
      <c r="G263" s="14">
        <f t="shared" si="21"/>
        <v>1</v>
      </c>
    </row>
    <row r="264" spans="2:7" ht="27.6" x14ac:dyDescent="0.25">
      <c r="B264" s="13">
        <v>22.7</v>
      </c>
      <c r="C264" s="56" t="s">
        <v>246</v>
      </c>
      <c r="D264" s="32" t="s">
        <v>344</v>
      </c>
      <c r="E264" s="32">
        <v>1</v>
      </c>
      <c r="F264" s="33">
        <v>1</v>
      </c>
      <c r="G264" s="14">
        <f t="shared" si="21"/>
        <v>1</v>
      </c>
    </row>
    <row r="265" spans="2:7" ht="27.6" x14ac:dyDescent="0.25">
      <c r="B265" s="13">
        <v>22.8</v>
      </c>
      <c r="C265" s="56" t="s">
        <v>247</v>
      </c>
      <c r="D265" s="32" t="s">
        <v>346</v>
      </c>
      <c r="E265" s="32">
        <v>1</v>
      </c>
      <c r="F265" s="33">
        <v>1</v>
      </c>
      <c r="G265" s="14">
        <f t="shared" si="21"/>
        <v>1</v>
      </c>
    </row>
    <row r="266" spans="2:7" ht="27.6" x14ac:dyDescent="0.25">
      <c r="B266" s="13">
        <v>22.9</v>
      </c>
      <c r="C266" s="56" t="s">
        <v>248</v>
      </c>
      <c r="D266" s="32" t="s">
        <v>345</v>
      </c>
      <c r="E266" s="32">
        <v>1</v>
      </c>
      <c r="F266" s="33">
        <v>1</v>
      </c>
      <c r="G266" s="14">
        <f t="shared" si="21"/>
        <v>1</v>
      </c>
    </row>
    <row r="267" spans="2:7" ht="27.6" x14ac:dyDescent="0.25">
      <c r="B267" s="34">
        <v>22.1</v>
      </c>
      <c r="C267" s="57" t="s">
        <v>249</v>
      </c>
      <c r="D267" s="16" t="s">
        <v>345</v>
      </c>
      <c r="E267" s="16">
        <v>1</v>
      </c>
      <c r="F267" s="17">
        <v>1</v>
      </c>
      <c r="G267" s="18">
        <f t="shared" si="21"/>
        <v>1</v>
      </c>
    </row>
    <row r="269" spans="2:7" x14ac:dyDescent="0.25">
      <c r="B269" s="10">
        <v>23</v>
      </c>
      <c r="C269" s="55" t="s">
        <v>250</v>
      </c>
      <c r="D269" s="11"/>
      <c r="E269" s="11"/>
      <c r="F269" s="12"/>
      <c r="G269" s="58">
        <f>SUM(G270:G280)</f>
        <v>11</v>
      </c>
    </row>
    <row r="270" spans="2:7" ht="27.6" x14ac:dyDescent="0.25">
      <c r="B270" s="13">
        <v>23.1</v>
      </c>
      <c r="C270" s="56" t="s">
        <v>251</v>
      </c>
      <c r="D270" s="32" t="s">
        <v>346</v>
      </c>
      <c r="E270" s="32">
        <v>1</v>
      </c>
      <c r="F270" s="33">
        <v>1</v>
      </c>
      <c r="G270" s="14">
        <f>E270*F270</f>
        <v>1</v>
      </c>
    </row>
    <row r="271" spans="2:7" ht="27.6" x14ac:dyDescent="0.25">
      <c r="B271" s="13">
        <v>23.2</v>
      </c>
      <c r="C271" s="56" t="s">
        <v>252</v>
      </c>
      <c r="D271" s="32" t="s">
        <v>346</v>
      </c>
      <c r="E271" s="32">
        <v>1</v>
      </c>
      <c r="F271" s="33">
        <v>1</v>
      </c>
      <c r="G271" s="14">
        <f t="shared" ref="G271:G280" si="22">E271*F271</f>
        <v>1</v>
      </c>
    </row>
    <row r="272" spans="2:7" ht="27.6" x14ac:dyDescent="0.25">
      <c r="B272" s="13">
        <v>23.3</v>
      </c>
      <c r="C272" s="56" t="s">
        <v>253</v>
      </c>
      <c r="D272" s="32" t="s">
        <v>345</v>
      </c>
      <c r="E272" s="32">
        <v>1</v>
      </c>
      <c r="F272" s="33">
        <v>1</v>
      </c>
      <c r="G272" s="14">
        <f t="shared" si="22"/>
        <v>1</v>
      </c>
    </row>
    <row r="273" spans="2:7" ht="27.6" x14ac:dyDescent="0.25">
      <c r="B273" s="13">
        <v>23.4</v>
      </c>
      <c r="C273" s="56" t="s">
        <v>254</v>
      </c>
      <c r="D273" s="32" t="s">
        <v>346</v>
      </c>
      <c r="E273" s="32">
        <v>1</v>
      </c>
      <c r="F273" s="33">
        <v>1</v>
      </c>
      <c r="G273" s="14">
        <f t="shared" si="22"/>
        <v>1</v>
      </c>
    </row>
    <row r="274" spans="2:7" ht="27.6" x14ac:dyDescent="0.25">
      <c r="B274" s="13">
        <v>23.5</v>
      </c>
      <c r="C274" s="56" t="s">
        <v>255</v>
      </c>
      <c r="D274" s="32" t="s">
        <v>345</v>
      </c>
      <c r="E274" s="32">
        <v>1</v>
      </c>
      <c r="F274" s="33">
        <v>1</v>
      </c>
      <c r="G274" s="14">
        <f t="shared" si="22"/>
        <v>1</v>
      </c>
    </row>
    <row r="275" spans="2:7" ht="27.6" x14ac:dyDescent="0.25">
      <c r="B275" s="13">
        <v>23.6</v>
      </c>
      <c r="C275" s="56" t="s">
        <v>256</v>
      </c>
      <c r="D275" s="32" t="s">
        <v>346</v>
      </c>
      <c r="E275" s="32">
        <v>1</v>
      </c>
      <c r="F275" s="33">
        <v>1</v>
      </c>
      <c r="G275" s="14">
        <f t="shared" si="22"/>
        <v>1</v>
      </c>
    </row>
    <row r="276" spans="2:7" ht="27.6" x14ac:dyDescent="0.25">
      <c r="B276" s="13">
        <v>23.7</v>
      </c>
      <c r="C276" s="56" t="s">
        <v>257</v>
      </c>
      <c r="D276" s="32" t="s">
        <v>346</v>
      </c>
      <c r="E276" s="32">
        <v>1</v>
      </c>
      <c r="F276" s="33">
        <v>1</v>
      </c>
      <c r="G276" s="14">
        <f t="shared" si="22"/>
        <v>1</v>
      </c>
    </row>
    <row r="277" spans="2:7" x14ac:dyDescent="0.25">
      <c r="B277" s="13">
        <v>23.8</v>
      </c>
      <c r="C277" s="56" t="s">
        <v>258</v>
      </c>
      <c r="D277" s="32" t="s">
        <v>346</v>
      </c>
      <c r="E277" s="32">
        <v>1</v>
      </c>
      <c r="F277" s="33">
        <v>1</v>
      </c>
      <c r="G277" s="14">
        <f t="shared" si="22"/>
        <v>1</v>
      </c>
    </row>
    <row r="278" spans="2:7" ht="27.6" x14ac:dyDescent="0.25">
      <c r="B278" s="13">
        <v>23.9</v>
      </c>
      <c r="C278" s="56" t="s">
        <v>259</v>
      </c>
      <c r="D278" s="32" t="s">
        <v>346</v>
      </c>
      <c r="E278" s="32">
        <v>1</v>
      </c>
      <c r="F278" s="33">
        <v>1</v>
      </c>
      <c r="G278" s="14">
        <f t="shared" si="22"/>
        <v>1</v>
      </c>
    </row>
    <row r="279" spans="2:7" ht="27.6" x14ac:dyDescent="0.25">
      <c r="B279" s="35">
        <v>23.1</v>
      </c>
      <c r="C279" s="56" t="s">
        <v>260</v>
      </c>
      <c r="D279" s="32" t="s">
        <v>345</v>
      </c>
      <c r="E279" s="32">
        <v>1</v>
      </c>
      <c r="F279" s="33">
        <v>1</v>
      </c>
      <c r="G279" s="14">
        <f t="shared" si="22"/>
        <v>1</v>
      </c>
    </row>
    <row r="280" spans="2:7" ht="27.6" x14ac:dyDescent="0.25">
      <c r="B280" s="15">
        <v>23.11</v>
      </c>
      <c r="C280" s="57" t="s">
        <v>261</v>
      </c>
      <c r="D280" s="16" t="s">
        <v>346</v>
      </c>
      <c r="E280" s="16">
        <v>1</v>
      </c>
      <c r="F280" s="17">
        <v>1</v>
      </c>
      <c r="G280" s="18">
        <f t="shared" si="22"/>
        <v>1</v>
      </c>
    </row>
    <row r="282" spans="2:7" x14ac:dyDescent="0.25">
      <c r="B282" s="10">
        <v>24</v>
      </c>
      <c r="C282" s="55" t="s">
        <v>262</v>
      </c>
      <c r="D282" s="11"/>
      <c r="E282" s="11"/>
      <c r="F282" s="12"/>
      <c r="G282" s="58">
        <f>SUM(G283:G292)</f>
        <v>10</v>
      </c>
    </row>
    <row r="283" spans="2:7" ht="27.6" x14ac:dyDescent="0.25">
      <c r="B283" s="13">
        <v>24.1</v>
      </c>
      <c r="C283" s="56" t="s">
        <v>263</v>
      </c>
      <c r="D283" s="32" t="s">
        <v>344</v>
      </c>
      <c r="E283" s="32">
        <v>1</v>
      </c>
      <c r="F283" s="33">
        <v>1</v>
      </c>
      <c r="G283" s="14">
        <f>E283*F283</f>
        <v>1</v>
      </c>
    </row>
    <row r="284" spans="2:7" ht="27.6" x14ac:dyDescent="0.25">
      <c r="B284" s="13">
        <v>24.2</v>
      </c>
      <c r="C284" s="56" t="s">
        <v>264</v>
      </c>
      <c r="D284" s="32" t="s">
        <v>344</v>
      </c>
      <c r="E284" s="32">
        <v>1</v>
      </c>
      <c r="F284" s="33">
        <v>1</v>
      </c>
      <c r="G284" s="14">
        <f t="shared" ref="G284:G292" si="23">E284*F284</f>
        <v>1</v>
      </c>
    </row>
    <row r="285" spans="2:7" ht="27.6" x14ac:dyDescent="0.25">
      <c r="B285" s="13">
        <v>24.3</v>
      </c>
      <c r="C285" s="56" t="s">
        <v>265</v>
      </c>
      <c r="D285" s="32" t="s">
        <v>344</v>
      </c>
      <c r="E285" s="32">
        <v>1</v>
      </c>
      <c r="F285" s="33">
        <v>1</v>
      </c>
      <c r="G285" s="14">
        <f t="shared" si="23"/>
        <v>1</v>
      </c>
    </row>
    <row r="286" spans="2:7" x14ac:dyDescent="0.25">
      <c r="B286" s="13">
        <v>24.4</v>
      </c>
      <c r="C286" s="56" t="s">
        <v>266</v>
      </c>
      <c r="D286" s="32" t="s">
        <v>344</v>
      </c>
      <c r="E286" s="32">
        <v>1</v>
      </c>
      <c r="F286" s="33">
        <v>1</v>
      </c>
      <c r="G286" s="14">
        <f t="shared" si="23"/>
        <v>1</v>
      </c>
    </row>
    <row r="287" spans="2:7" x14ac:dyDescent="0.25">
      <c r="B287" s="13">
        <v>24.5</v>
      </c>
      <c r="C287" s="56" t="s">
        <v>267</v>
      </c>
      <c r="D287" s="32" t="s">
        <v>344</v>
      </c>
      <c r="E287" s="32">
        <v>1</v>
      </c>
      <c r="F287" s="33">
        <v>1</v>
      </c>
      <c r="G287" s="14">
        <f t="shared" si="23"/>
        <v>1</v>
      </c>
    </row>
    <row r="288" spans="2:7" ht="27.6" x14ac:dyDescent="0.25">
      <c r="B288" s="13">
        <v>24.6</v>
      </c>
      <c r="C288" s="56" t="s">
        <v>268</v>
      </c>
      <c r="D288" s="32" t="s">
        <v>344</v>
      </c>
      <c r="E288" s="32">
        <v>1</v>
      </c>
      <c r="F288" s="33">
        <v>1</v>
      </c>
      <c r="G288" s="14">
        <f t="shared" si="23"/>
        <v>1</v>
      </c>
    </row>
    <row r="289" spans="2:7" ht="27.6" x14ac:dyDescent="0.25">
      <c r="B289" s="13">
        <v>24.7</v>
      </c>
      <c r="C289" s="56" t="s">
        <v>269</v>
      </c>
      <c r="D289" s="32" t="s">
        <v>344</v>
      </c>
      <c r="E289" s="32">
        <v>1</v>
      </c>
      <c r="F289" s="33">
        <v>1</v>
      </c>
      <c r="G289" s="14">
        <f t="shared" si="23"/>
        <v>1</v>
      </c>
    </row>
    <row r="290" spans="2:7" x14ac:dyDescent="0.25">
      <c r="B290" s="13">
        <v>24.8</v>
      </c>
      <c r="C290" s="56" t="s">
        <v>270</v>
      </c>
      <c r="D290" s="32" t="s">
        <v>344</v>
      </c>
      <c r="E290" s="32">
        <v>1</v>
      </c>
      <c r="F290" s="33">
        <v>1</v>
      </c>
      <c r="G290" s="14">
        <f t="shared" si="23"/>
        <v>1</v>
      </c>
    </row>
    <row r="291" spans="2:7" x14ac:dyDescent="0.25">
      <c r="B291" s="13">
        <v>24.9</v>
      </c>
      <c r="C291" s="56" t="s">
        <v>271</v>
      </c>
      <c r="D291" s="32" t="s">
        <v>344</v>
      </c>
      <c r="E291" s="32">
        <v>1</v>
      </c>
      <c r="F291" s="33">
        <v>1</v>
      </c>
      <c r="G291" s="14">
        <f t="shared" si="23"/>
        <v>1</v>
      </c>
    </row>
    <row r="292" spans="2:7" ht="27.6" x14ac:dyDescent="0.25">
      <c r="B292" s="34">
        <v>24.1</v>
      </c>
      <c r="C292" s="57" t="s">
        <v>272</v>
      </c>
      <c r="D292" s="16" t="s">
        <v>344</v>
      </c>
      <c r="E292" s="16">
        <v>1</v>
      </c>
      <c r="F292" s="17">
        <v>1</v>
      </c>
      <c r="G292" s="18">
        <f t="shared" si="23"/>
        <v>1</v>
      </c>
    </row>
    <row r="294" spans="2:7" x14ac:dyDescent="0.25">
      <c r="B294" s="10">
        <v>25</v>
      </c>
      <c r="C294" s="55" t="s">
        <v>273</v>
      </c>
      <c r="D294" s="11"/>
      <c r="E294" s="11"/>
      <c r="F294" s="12"/>
      <c r="G294" s="58">
        <f>SUM(G295:G304)</f>
        <v>10</v>
      </c>
    </row>
    <row r="295" spans="2:7" ht="27.6" x14ac:dyDescent="0.25">
      <c r="B295" s="13">
        <v>25.1</v>
      </c>
      <c r="C295" s="56" t="s">
        <v>274</v>
      </c>
      <c r="D295" s="32" t="s">
        <v>346</v>
      </c>
      <c r="E295" s="32">
        <v>1</v>
      </c>
      <c r="F295" s="33">
        <v>1</v>
      </c>
      <c r="G295" s="14">
        <f>E295*F295</f>
        <v>1</v>
      </c>
    </row>
    <row r="296" spans="2:7" ht="27.6" x14ac:dyDescent="0.25">
      <c r="B296" s="13">
        <v>25.2</v>
      </c>
      <c r="C296" s="56" t="s">
        <v>275</v>
      </c>
      <c r="D296" s="32" t="s">
        <v>346</v>
      </c>
      <c r="E296" s="32">
        <v>1</v>
      </c>
      <c r="F296" s="33">
        <v>1</v>
      </c>
      <c r="G296" s="14">
        <f t="shared" ref="G296:G304" si="24">E296*F296</f>
        <v>1</v>
      </c>
    </row>
    <row r="297" spans="2:7" ht="27.6" x14ac:dyDescent="0.25">
      <c r="B297" s="13">
        <v>25.3</v>
      </c>
      <c r="C297" s="56" t="s">
        <v>276</v>
      </c>
      <c r="D297" s="32" t="s">
        <v>346</v>
      </c>
      <c r="E297" s="32">
        <v>1</v>
      </c>
      <c r="F297" s="33">
        <v>1</v>
      </c>
      <c r="G297" s="14">
        <f t="shared" si="24"/>
        <v>1</v>
      </c>
    </row>
    <row r="298" spans="2:7" ht="27.6" x14ac:dyDescent="0.25">
      <c r="B298" s="13">
        <v>25.4</v>
      </c>
      <c r="C298" s="56" t="s">
        <v>277</v>
      </c>
      <c r="D298" s="32" t="s">
        <v>346</v>
      </c>
      <c r="E298" s="32">
        <v>1</v>
      </c>
      <c r="F298" s="33">
        <v>1</v>
      </c>
      <c r="G298" s="14">
        <f t="shared" si="24"/>
        <v>1</v>
      </c>
    </row>
    <row r="299" spans="2:7" ht="27.6" x14ac:dyDescent="0.25">
      <c r="B299" s="13">
        <v>25.5</v>
      </c>
      <c r="C299" s="56" t="s">
        <v>278</v>
      </c>
      <c r="D299" s="32" t="s">
        <v>346</v>
      </c>
      <c r="E299" s="32">
        <v>1</v>
      </c>
      <c r="F299" s="33">
        <v>1</v>
      </c>
      <c r="G299" s="14">
        <f t="shared" si="24"/>
        <v>1</v>
      </c>
    </row>
    <row r="300" spans="2:7" ht="27.6" x14ac:dyDescent="0.25">
      <c r="B300" s="13">
        <v>25.6</v>
      </c>
      <c r="C300" s="56" t="s">
        <v>279</v>
      </c>
      <c r="D300" s="32" t="s">
        <v>346</v>
      </c>
      <c r="E300" s="32">
        <v>1</v>
      </c>
      <c r="F300" s="33">
        <v>1</v>
      </c>
      <c r="G300" s="14">
        <f t="shared" si="24"/>
        <v>1</v>
      </c>
    </row>
    <row r="301" spans="2:7" ht="27.6" x14ac:dyDescent="0.25">
      <c r="B301" s="13">
        <v>25.7</v>
      </c>
      <c r="C301" s="56" t="s">
        <v>280</v>
      </c>
      <c r="D301" s="32" t="s">
        <v>346</v>
      </c>
      <c r="E301" s="32">
        <v>1</v>
      </c>
      <c r="F301" s="33">
        <v>1</v>
      </c>
      <c r="G301" s="14">
        <f t="shared" si="24"/>
        <v>1</v>
      </c>
    </row>
    <row r="302" spans="2:7" ht="27.6" x14ac:dyDescent="0.25">
      <c r="B302" s="13">
        <v>25.8</v>
      </c>
      <c r="C302" s="56" t="s">
        <v>281</v>
      </c>
      <c r="D302" s="32" t="s">
        <v>346</v>
      </c>
      <c r="E302" s="32">
        <v>1</v>
      </c>
      <c r="F302" s="33">
        <v>1</v>
      </c>
      <c r="G302" s="14">
        <f t="shared" si="24"/>
        <v>1</v>
      </c>
    </row>
    <row r="303" spans="2:7" ht="27.6" x14ac:dyDescent="0.25">
      <c r="B303" s="13">
        <v>25.9</v>
      </c>
      <c r="C303" s="56" t="s">
        <v>282</v>
      </c>
      <c r="D303" s="32" t="s">
        <v>346</v>
      </c>
      <c r="E303" s="32">
        <v>1</v>
      </c>
      <c r="F303" s="33">
        <v>1</v>
      </c>
      <c r="G303" s="14">
        <f t="shared" si="24"/>
        <v>1</v>
      </c>
    </row>
    <row r="304" spans="2:7" ht="27.6" x14ac:dyDescent="0.25">
      <c r="B304" s="34">
        <v>25.1</v>
      </c>
      <c r="C304" s="57" t="s">
        <v>283</v>
      </c>
      <c r="D304" s="16" t="s">
        <v>346</v>
      </c>
      <c r="E304" s="16">
        <v>1</v>
      </c>
      <c r="F304" s="17">
        <v>1</v>
      </c>
      <c r="G304" s="18">
        <f t="shared" si="24"/>
        <v>1</v>
      </c>
    </row>
    <row r="306" spans="2:7" x14ac:dyDescent="0.25">
      <c r="B306" s="10">
        <v>26</v>
      </c>
      <c r="C306" s="55" t="s">
        <v>284</v>
      </c>
      <c r="D306" s="11"/>
      <c r="E306" s="11"/>
      <c r="F306" s="12"/>
      <c r="G306" s="58">
        <f>SUM(G307:G318)</f>
        <v>12</v>
      </c>
    </row>
    <row r="307" spans="2:7" ht="27.6" x14ac:dyDescent="0.25">
      <c r="B307" s="13">
        <v>26.1</v>
      </c>
      <c r="C307" s="56" t="s">
        <v>285</v>
      </c>
      <c r="D307" s="32" t="s">
        <v>345</v>
      </c>
      <c r="E307" s="32">
        <v>1</v>
      </c>
      <c r="F307" s="33">
        <v>1</v>
      </c>
      <c r="G307" s="14">
        <f>E307*F307</f>
        <v>1</v>
      </c>
    </row>
    <row r="308" spans="2:7" ht="27.6" x14ac:dyDescent="0.25">
      <c r="B308" s="13">
        <v>26.2</v>
      </c>
      <c r="C308" s="56" t="s">
        <v>286</v>
      </c>
      <c r="D308" s="32" t="s">
        <v>345</v>
      </c>
      <c r="E308" s="32">
        <v>1</v>
      </c>
      <c r="F308" s="33">
        <v>1</v>
      </c>
      <c r="G308" s="14">
        <f t="shared" ref="G308:G318" si="25">E308*F308</f>
        <v>1</v>
      </c>
    </row>
    <row r="309" spans="2:7" ht="27.6" x14ac:dyDescent="0.25">
      <c r="B309" s="13">
        <v>26.3</v>
      </c>
      <c r="C309" s="56" t="s">
        <v>287</v>
      </c>
      <c r="D309" s="32" t="s">
        <v>345</v>
      </c>
      <c r="E309" s="32">
        <v>1</v>
      </c>
      <c r="F309" s="33">
        <v>1</v>
      </c>
      <c r="G309" s="14">
        <f t="shared" si="25"/>
        <v>1</v>
      </c>
    </row>
    <row r="310" spans="2:7" ht="27.6" x14ac:dyDescent="0.25">
      <c r="B310" s="13">
        <v>26.4</v>
      </c>
      <c r="C310" s="56" t="s">
        <v>288</v>
      </c>
      <c r="D310" s="32" t="s">
        <v>345</v>
      </c>
      <c r="E310" s="32">
        <v>1</v>
      </c>
      <c r="F310" s="33">
        <v>1</v>
      </c>
      <c r="G310" s="14">
        <f t="shared" si="25"/>
        <v>1</v>
      </c>
    </row>
    <row r="311" spans="2:7" ht="27.6" x14ac:dyDescent="0.25">
      <c r="B311" s="13">
        <v>26.5</v>
      </c>
      <c r="C311" s="56" t="s">
        <v>289</v>
      </c>
      <c r="D311" s="32" t="s">
        <v>347</v>
      </c>
      <c r="E311" s="32">
        <v>1</v>
      </c>
      <c r="F311" s="33">
        <v>1</v>
      </c>
      <c r="G311" s="14">
        <f t="shared" si="25"/>
        <v>1</v>
      </c>
    </row>
    <row r="312" spans="2:7" ht="27.6" x14ac:dyDescent="0.25">
      <c r="B312" s="13">
        <v>26.6</v>
      </c>
      <c r="C312" s="56" t="s">
        <v>290</v>
      </c>
      <c r="D312" s="32" t="s">
        <v>346</v>
      </c>
      <c r="E312" s="32">
        <v>1</v>
      </c>
      <c r="F312" s="33">
        <v>1</v>
      </c>
      <c r="G312" s="14">
        <f t="shared" si="25"/>
        <v>1</v>
      </c>
    </row>
    <row r="313" spans="2:7" ht="27.6" x14ac:dyDescent="0.25">
      <c r="B313" s="13">
        <v>26.7</v>
      </c>
      <c r="C313" s="56" t="s">
        <v>291</v>
      </c>
      <c r="D313" s="32" t="s">
        <v>345</v>
      </c>
      <c r="E313" s="32">
        <v>1</v>
      </c>
      <c r="F313" s="33">
        <v>1</v>
      </c>
      <c r="G313" s="14">
        <f t="shared" si="25"/>
        <v>1</v>
      </c>
    </row>
    <row r="314" spans="2:7" ht="27.6" x14ac:dyDescent="0.25">
      <c r="B314" s="13">
        <v>26.8</v>
      </c>
      <c r="C314" s="56" t="s">
        <v>292</v>
      </c>
      <c r="D314" s="32" t="s">
        <v>346</v>
      </c>
      <c r="E314" s="32">
        <v>1</v>
      </c>
      <c r="F314" s="33">
        <v>1</v>
      </c>
      <c r="G314" s="14">
        <f t="shared" si="25"/>
        <v>1</v>
      </c>
    </row>
    <row r="315" spans="2:7" ht="27.6" x14ac:dyDescent="0.25">
      <c r="B315" s="13">
        <v>26.9</v>
      </c>
      <c r="C315" s="56" t="s">
        <v>293</v>
      </c>
      <c r="D315" s="32" t="s">
        <v>344</v>
      </c>
      <c r="E315" s="32">
        <v>1</v>
      </c>
      <c r="F315" s="33">
        <v>1</v>
      </c>
      <c r="G315" s="14">
        <f t="shared" si="25"/>
        <v>1</v>
      </c>
    </row>
    <row r="316" spans="2:7" ht="27.6" x14ac:dyDescent="0.25">
      <c r="B316" s="35">
        <v>26.1</v>
      </c>
      <c r="C316" s="56" t="s">
        <v>294</v>
      </c>
      <c r="D316" s="32" t="s">
        <v>345</v>
      </c>
      <c r="E316" s="32">
        <v>1</v>
      </c>
      <c r="F316" s="33">
        <v>1</v>
      </c>
      <c r="G316" s="14">
        <f t="shared" si="25"/>
        <v>1</v>
      </c>
    </row>
    <row r="317" spans="2:7" ht="27.6" x14ac:dyDescent="0.25">
      <c r="B317" s="13">
        <v>26.11</v>
      </c>
      <c r="C317" s="56" t="s">
        <v>295</v>
      </c>
      <c r="D317" s="32" t="s">
        <v>345</v>
      </c>
      <c r="E317" s="32">
        <v>1</v>
      </c>
      <c r="F317" s="33">
        <v>1</v>
      </c>
      <c r="G317" s="14">
        <f t="shared" si="25"/>
        <v>1</v>
      </c>
    </row>
    <row r="318" spans="2:7" ht="27.6" x14ac:dyDescent="0.25">
      <c r="B318" s="15">
        <v>26.12</v>
      </c>
      <c r="C318" s="57" t="s">
        <v>296</v>
      </c>
      <c r="D318" s="16" t="s">
        <v>345</v>
      </c>
      <c r="E318" s="16">
        <v>1</v>
      </c>
      <c r="F318" s="17">
        <v>1</v>
      </c>
      <c r="G318" s="18">
        <f t="shared" si="25"/>
        <v>1</v>
      </c>
    </row>
    <row r="320" spans="2:7" x14ac:dyDescent="0.25">
      <c r="B320" s="10">
        <v>27</v>
      </c>
      <c r="C320" s="55" t="s">
        <v>297</v>
      </c>
      <c r="D320" s="11"/>
      <c r="E320" s="11"/>
      <c r="F320" s="12"/>
      <c r="G320" s="58">
        <f>SUM(G321:G330)</f>
        <v>10</v>
      </c>
    </row>
    <row r="321" spans="2:7" ht="27.6" x14ac:dyDescent="0.25">
      <c r="B321" s="13">
        <v>27.1</v>
      </c>
      <c r="C321" s="56" t="s">
        <v>298</v>
      </c>
      <c r="D321" s="32" t="s">
        <v>345</v>
      </c>
      <c r="E321" s="32">
        <v>1</v>
      </c>
      <c r="F321" s="33">
        <v>1</v>
      </c>
      <c r="G321" s="14">
        <f>E321*F321</f>
        <v>1</v>
      </c>
    </row>
    <row r="322" spans="2:7" ht="27.6" x14ac:dyDescent="0.25">
      <c r="B322" s="13">
        <v>27.2</v>
      </c>
      <c r="C322" s="56" t="s">
        <v>299</v>
      </c>
      <c r="D322" s="32" t="s">
        <v>344</v>
      </c>
      <c r="E322" s="32">
        <v>1</v>
      </c>
      <c r="F322" s="33">
        <v>1</v>
      </c>
      <c r="G322" s="14">
        <f t="shared" ref="G322:G330" si="26">E322*F322</f>
        <v>1</v>
      </c>
    </row>
    <row r="323" spans="2:7" ht="27.6" x14ac:dyDescent="0.25">
      <c r="B323" s="13">
        <v>27.3</v>
      </c>
      <c r="C323" s="56" t="s">
        <v>300</v>
      </c>
      <c r="D323" s="32" t="s">
        <v>344</v>
      </c>
      <c r="E323" s="32">
        <v>1</v>
      </c>
      <c r="F323" s="33">
        <v>1</v>
      </c>
      <c r="G323" s="14">
        <f t="shared" si="26"/>
        <v>1</v>
      </c>
    </row>
    <row r="324" spans="2:7" ht="27.6" x14ac:dyDescent="0.25">
      <c r="B324" s="13">
        <v>27.4</v>
      </c>
      <c r="C324" s="56" t="s">
        <v>301</v>
      </c>
      <c r="D324" s="32" t="s">
        <v>344</v>
      </c>
      <c r="E324" s="32">
        <v>1</v>
      </c>
      <c r="F324" s="33">
        <v>1</v>
      </c>
      <c r="G324" s="14">
        <f t="shared" si="26"/>
        <v>1</v>
      </c>
    </row>
    <row r="325" spans="2:7" ht="27.6" x14ac:dyDescent="0.25">
      <c r="B325" s="13">
        <v>27.5</v>
      </c>
      <c r="C325" s="56" t="s">
        <v>302</v>
      </c>
      <c r="D325" s="32" t="s">
        <v>344</v>
      </c>
      <c r="E325" s="32">
        <v>1</v>
      </c>
      <c r="F325" s="33">
        <v>1</v>
      </c>
      <c r="G325" s="14">
        <f t="shared" si="26"/>
        <v>1</v>
      </c>
    </row>
    <row r="326" spans="2:7" ht="27.6" x14ac:dyDescent="0.25">
      <c r="B326" s="13">
        <v>27.6</v>
      </c>
      <c r="C326" s="56" t="s">
        <v>303</v>
      </c>
      <c r="D326" s="32" t="s">
        <v>344</v>
      </c>
      <c r="E326" s="32">
        <v>1</v>
      </c>
      <c r="F326" s="33">
        <v>1</v>
      </c>
      <c r="G326" s="14">
        <f t="shared" si="26"/>
        <v>1</v>
      </c>
    </row>
    <row r="327" spans="2:7" ht="27.6" x14ac:dyDescent="0.25">
      <c r="B327" s="13">
        <v>27.7</v>
      </c>
      <c r="C327" s="56" t="s">
        <v>304</v>
      </c>
      <c r="D327" s="32" t="s">
        <v>344</v>
      </c>
      <c r="E327" s="32">
        <v>1</v>
      </c>
      <c r="F327" s="33">
        <v>1</v>
      </c>
      <c r="G327" s="14">
        <f t="shared" si="26"/>
        <v>1</v>
      </c>
    </row>
    <row r="328" spans="2:7" ht="27.6" x14ac:dyDescent="0.25">
      <c r="B328" s="13">
        <v>27.8</v>
      </c>
      <c r="C328" s="56" t="s">
        <v>305</v>
      </c>
      <c r="D328" s="32" t="s">
        <v>344</v>
      </c>
      <c r="E328" s="32">
        <v>1</v>
      </c>
      <c r="F328" s="33">
        <v>1</v>
      </c>
      <c r="G328" s="14">
        <f t="shared" si="26"/>
        <v>1</v>
      </c>
    </row>
    <row r="329" spans="2:7" ht="27.6" x14ac:dyDescent="0.25">
      <c r="B329" s="13">
        <v>27.9</v>
      </c>
      <c r="C329" s="56" t="s">
        <v>306</v>
      </c>
      <c r="D329" s="32" t="s">
        <v>344</v>
      </c>
      <c r="E329" s="32">
        <v>1</v>
      </c>
      <c r="F329" s="33">
        <v>1</v>
      </c>
      <c r="G329" s="14">
        <f t="shared" si="26"/>
        <v>1</v>
      </c>
    </row>
    <row r="330" spans="2:7" ht="27.6" x14ac:dyDescent="0.25">
      <c r="B330" s="34">
        <v>27.1</v>
      </c>
      <c r="C330" s="57" t="s">
        <v>307</v>
      </c>
      <c r="D330" s="16" t="s">
        <v>344</v>
      </c>
      <c r="E330" s="16">
        <v>1</v>
      </c>
      <c r="F330" s="17">
        <v>1</v>
      </c>
      <c r="G330" s="18">
        <f t="shared" si="26"/>
        <v>1</v>
      </c>
    </row>
    <row r="332" spans="2:7" x14ac:dyDescent="0.25">
      <c r="B332" s="10">
        <v>28</v>
      </c>
      <c r="C332" s="55" t="s">
        <v>308</v>
      </c>
      <c r="D332" s="11"/>
      <c r="E332" s="11"/>
      <c r="F332" s="12"/>
      <c r="G332" s="58">
        <f>SUM(G333:G342)</f>
        <v>10</v>
      </c>
    </row>
    <row r="333" spans="2:7" ht="27.6" x14ac:dyDescent="0.25">
      <c r="B333" s="13">
        <v>28.1</v>
      </c>
      <c r="C333" s="56" t="s">
        <v>309</v>
      </c>
      <c r="D333" s="32" t="s">
        <v>345</v>
      </c>
      <c r="E333" s="32">
        <v>1</v>
      </c>
      <c r="F333" s="33">
        <v>1</v>
      </c>
      <c r="G333" s="14">
        <f>E333*F333</f>
        <v>1</v>
      </c>
    </row>
    <row r="334" spans="2:7" ht="27.6" x14ac:dyDescent="0.25">
      <c r="B334" s="13">
        <v>28.2</v>
      </c>
      <c r="C334" s="56" t="s">
        <v>310</v>
      </c>
      <c r="D334" s="32" t="s">
        <v>345</v>
      </c>
      <c r="E334" s="32">
        <v>1</v>
      </c>
      <c r="F334" s="33">
        <v>1</v>
      </c>
      <c r="G334" s="14">
        <f t="shared" ref="G334:G342" si="27">E334*F334</f>
        <v>1</v>
      </c>
    </row>
    <row r="335" spans="2:7" ht="27.6" x14ac:dyDescent="0.25">
      <c r="B335" s="13">
        <v>28.3</v>
      </c>
      <c r="C335" s="56" t="s">
        <v>311</v>
      </c>
      <c r="D335" s="32" t="s">
        <v>345</v>
      </c>
      <c r="E335" s="32">
        <v>1</v>
      </c>
      <c r="F335" s="33">
        <v>1</v>
      </c>
      <c r="G335" s="14">
        <f t="shared" si="27"/>
        <v>1</v>
      </c>
    </row>
    <row r="336" spans="2:7" ht="27.6" x14ac:dyDescent="0.25">
      <c r="B336" s="13">
        <v>28.4</v>
      </c>
      <c r="C336" s="56" t="s">
        <v>312</v>
      </c>
      <c r="D336" s="32" t="s">
        <v>345</v>
      </c>
      <c r="E336" s="32">
        <v>1</v>
      </c>
      <c r="F336" s="33">
        <v>1</v>
      </c>
      <c r="G336" s="14">
        <f t="shared" si="27"/>
        <v>1</v>
      </c>
    </row>
    <row r="337" spans="2:7" ht="27.6" x14ac:dyDescent="0.25">
      <c r="B337" s="13">
        <v>28.5</v>
      </c>
      <c r="C337" s="56" t="s">
        <v>313</v>
      </c>
      <c r="D337" s="32" t="s">
        <v>345</v>
      </c>
      <c r="E337" s="32">
        <v>1</v>
      </c>
      <c r="F337" s="33">
        <v>1</v>
      </c>
      <c r="G337" s="14">
        <f t="shared" si="27"/>
        <v>1</v>
      </c>
    </row>
    <row r="338" spans="2:7" ht="27.6" x14ac:dyDescent="0.25">
      <c r="B338" s="13">
        <v>28.6</v>
      </c>
      <c r="C338" s="56" t="s">
        <v>314</v>
      </c>
      <c r="D338" s="32" t="s">
        <v>345</v>
      </c>
      <c r="E338" s="32">
        <v>1</v>
      </c>
      <c r="F338" s="33">
        <v>1</v>
      </c>
      <c r="G338" s="14">
        <f t="shared" si="27"/>
        <v>1</v>
      </c>
    </row>
    <row r="339" spans="2:7" ht="27.6" x14ac:dyDescent="0.25">
      <c r="B339" s="13">
        <v>28.7</v>
      </c>
      <c r="C339" s="56" t="s">
        <v>315</v>
      </c>
      <c r="D339" s="32" t="s">
        <v>345</v>
      </c>
      <c r="E339" s="32">
        <v>1</v>
      </c>
      <c r="F339" s="33">
        <v>1</v>
      </c>
      <c r="G339" s="14">
        <f t="shared" si="27"/>
        <v>1</v>
      </c>
    </row>
    <row r="340" spans="2:7" ht="27.6" x14ac:dyDescent="0.25">
      <c r="B340" s="13">
        <v>28.8</v>
      </c>
      <c r="C340" s="56" t="s">
        <v>316</v>
      </c>
      <c r="D340" s="32" t="s">
        <v>345</v>
      </c>
      <c r="E340" s="32">
        <v>1</v>
      </c>
      <c r="F340" s="33">
        <v>1</v>
      </c>
      <c r="G340" s="14">
        <f t="shared" si="27"/>
        <v>1</v>
      </c>
    </row>
    <row r="341" spans="2:7" ht="27.6" x14ac:dyDescent="0.25">
      <c r="B341" s="13">
        <v>28.9</v>
      </c>
      <c r="C341" s="56" t="s">
        <v>317</v>
      </c>
      <c r="D341" s="32" t="s">
        <v>345</v>
      </c>
      <c r="E341" s="32">
        <v>1</v>
      </c>
      <c r="F341" s="33">
        <v>1</v>
      </c>
      <c r="G341" s="14">
        <f t="shared" si="27"/>
        <v>1</v>
      </c>
    </row>
    <row r="342" spans="2:7" ht="27.6" x14ac:dyDescent="0.25">
      <c r="B342" s="34">
        <v>28.1</v>
      </c>
      <c r="C342" s="57" t="s">
        <v>318</v>
      </c>
      <c r="D342" s="16" t="s">
        <v>345</v>
      </c>
      <c r="E342" s="16">
        <v>1</v>
      </c>
      <c r="F342" s="17">
        <v>1</v>
      </c>
      <c r="G342" s="18">
        <f t="shared" si="27"/>
        <v>1</v>
      </c>
    </row>
    <row r="344" spans="2:7" x14ac:dyDescent="0.25">
      <c r="B344" s="10">
        <v>29</v>
      </c>
      <c r="C344" s="55" t="s">
        <v>319</v>
      </c>
      <c r="D344" s="11"/>
      <c r="E344" s="11"/>
      <c r="F344" s="12"/>
      <c r="G344" s="58">
        <f>SUM(G345:G354)</f>
        <v>10</v>
      </c>
    </row>
    <row r="345" spans="2:7" ht="27.6" x14ac:dyDescent="0.25">
      <c r="B345" s="13">
        <v>29.1</v>
      </c>
      <c r="C345" s="56" t="s">
        <v>320</v>
      </c>
      <c r="D345" s="32" t="s">
        <v>343</v>
      </c>
      <c r="E345" s="32">
        <v>1</v>
      </c>
      <c r="F345" s="33">
        <v>1</v>
      </c>
      <c r="G345" s="14">
        <f>E345*F345</f>
        <v>1</v>
      </c>
    </row>
    <row r="346" spans="2:7" ht="27.6" x14ac:dyDescent="0.25">
      <c r="B346" s="13">
        <v>29.2</v>
      </c>
      <c r="C346" s="56" t="s">
        <v>321</v>
      </c>
      <c r="D346" s="32" t="s">
        <v>343</v>
      </c>
      <c r="E346" s="32">
        <v>1</v>
      </c>
      <c r="F346" s="33">
        <v>1</v>
      </c>
      <c r="G346" s="14">
        <f t="shared" ref="G346:G354" si="28">E346*F346</f>
        <v>1</v>
      </c>
    </row>
    <row r="347" spans="2:7" ht="27.6" x14ac:dyDescent="0.25">
      <c r="B347" s="13">
        <v>29.3</v>
      </c>
      <c r="C347" s="56" t="s">
        <v>322</v>
      </c>
      <c r="D347" s="32" t="s">
        <v>343</v>
      </c>
      <c r="E347" s="32">
        <v>1</v>
      </c>
      <c r="F347" s="33">
        <v>1</v>
      </c>
      <c r="G347" s="14">
        <f t="shared" si="28"/>
        <v>1</v>
      </c>
    </row>
    <row r="348" spans="2:7" ht="27.6" x14ac:dyDescent="0.25">
      <c r="B348" s="13">
        <v>29.4</v>
      </c>
      <c r="C348" s="56" t="s">
        <v>323</v>
      </c>
      <c r="D348" s="32" t="s">
        <v>343</v>
      </c>
      <c r="E348" s="32">
        <v>1</v>
      </c>
      <c r="F348" s="33">
        <v>1</v>
      </c>
      <c r="G348" s="14">
        <f t="shared" si="28"/>
        <v>1</v>
      </c>
    </row>
    <row r="349" spans="2:7" ht="27.6" x14ac:dyDescent="0.25">
      <c r="B349" s="13">
        <v>29.5</v>
      </c>
      <c r="C349" s="56" t="s">
        <v>324</v>
      </c>
      <c r="D349" s="32" t="s">
        <v>343</v>
      </c>
      <c r="E349" s="32">
        <v>1</v>
      </c>
      <c r="F349" s="33">
        <v>1</v>
      </c>
      <c r="G349" s="14">
        <f t="shared" si="28"/>
        <v>1</v>
      </c>
    </row>
    <row r="350" spans="2:7" ht="27.6" x14ac:dyDescent="0.25">
      <c r="B350" s="13">
        <v>29.6</v>
      </c>
      <c r="C350" s="56" t="s">
        <v>325</v>
      </c>
      <c r="D350" s="32" t="s">
        <v>345</v>
      </c>
      <c r="E350" s="32">
        <v>1</v>
      </c>
      <c r="F350" s="33">
        <v>1</v>
      </c>
      <c r="G350" s="14">
        <f t="shared" si="28"/>
        <v>1</v>
      </c>
    </row>
    <row r="351" spans="2:7" ht="27.6" x14ac:dyDescent="0.25">
      <c r="B351" s="13">
        <v>29.7</v>
      </c>
      <c r="C351" s="56" t="s">
        <v>326</v>
      </c>
      <c r="D351" s="32" t="s">
        <v>345</v>
      </c>
      <c r="E351" s="32">
        <v>1</v>
      </c>
      <c r="F351" s="33">
        <v>1</v>
      </c>
      <c r="G351" s="14">
        <f t="shared" si="28"/>
        <v>1</v>
      </c>
    </row>
    <row r="352" spans="2:7" ht="27.6" x14ac:dyDescent="0.25">
      <c r="B352" s="13">
        <v>29.8</v>
      </c>
      <c r="C352" s="56" t="s">
        <v>327</v>
      </c>
      <c r="D352" s="32" t="s">
        <v>344</v>
      </c>
      <c r="E352" s="32">
        <v>1</v>
      </c>
      <c r="F352" s="33">
        <v>1</v>
      </c>
      <c r="G352" s="14">
        <f t="shared" si="28"/>
        <v>1</v>
      </c>
    </row>
    <row r="353" spans="2:7" ht="27.6" x14ac:dyDescent="0.25">
      <c r="B353" s="13">
        <v>29.9</v>
      </c>
      <c r="C353" s="56" t="s">
        <v>328</v>
      </c>
      <c r="D353" s="32" t="s">
        <v>346</v>
      </c>
      <c r="E353" s="32">
        <v>1</v>
      </c>
      <c r="F353" s="33">
        <v>1</v>
      </c>
      <c r="G353" s="14">
        <f t="shared" si="28"/>
        <v>1</v>
      </c>
    </row>
    <row r="354" spans="2:7" ht="27.6" x14ac:dyDescent="0.25">
      <c r="B354" s="34">
        <v>29.1</v>
      </c>
      <c r="C354" s="57" t="s">
        <v>329</v>
      </c>
      <c r="D354" s="16" t="s">
        <v>346</v>
      </c>
      <c r="E354" s="16">
        <v>1</v>
      </c>
      <c r="F354" s="17">
        <v>1</v>
      </c>
      <c r="G354" s="18">
        <f t="shared" si="28"/>
        <v>1</v>
      </c>
    </row>
    <row r="356" spans="2:7" x14ac:dyDescent="0.25">
      <c r="B356" s="10">
        <v>30</v>
      </c>
      <c r="C356" s="55" t="s">
        <v>330</v>
      </c>
      <c r="D356" s="11"/>
      <c r="E356" s="11"/>
      <c r="F356" s="12"/>
      <c r="G356" s="58">
        <f>SUM(G357:G368)</f>
        <v>12</v>
      </c>
    </row>
    <row r="357" spans="2:7" ht="27.6" x14ac:dyDescent="0.25">
      <c r="B357" s="13">
        <v>30.1</v>
      </c>
      <c r="C357" s="56" t="s">
        <v>331</v>
      </c>
      <c r="D357" s="32" t="s">
        <v>344</v>
      </c>
      <c r="E357" s="32">
        <v>1</v>
      </c>
      <c r="F357" s="33">
        <v>1</v>
      </c>
      <c r="G357" s="14">
        <f>E357*F357</f>
        <v>1</v>
      </c>
    </row>
    <row r="358" spans="2:7" ht="27.6" x14ac:dyDescent="0.25">
      <c r="B358" s="13">
        <v>30.2</v>
      </c>
      <c r="C358" s="56" t="s">
        <v>332</v>
      </c>
      <c r="D358" s="32" t="s">
        <v>344</v>
      </c>
      <c r="E358" s="32">
        <v>1</v>
      </c>
      <c r="F358" s="33">
        <v>1</v>
      </c>
      <c r="G358" s="14">
        <f t="shared" ref="G358:G368" si="29">E358*F358</f>
        <v>1</v>
      </c>
    </row>
    <row r="359" spans="2:7" ht="27.6" x14ac:dyDescent="0.25">
      <c r="B359" s="13">
        <v>30.3</v>
      </c>
      <c r="C359" s="56" t="s">
        <v>333</v>
      </c>
      <c r="D359" s="32" t="s">
        <v>344</v>
      </c>
      <c r="E359" s="32">
        <v>1</v>
      </c>
      <c r="F359" s="33">
        <v>1</v>
      </c>
      <c r="G359" s="14">
        <f t="shared" si="29"/>
        <v>1</v>
      </c>
    </row>
    <row r="360" spans="2:7" ht="27.6" x14ac:dyDescent="0.25">
      <c r="B360" s="13">
        <v>30.4</v>
      </c>
      <c r="C360" s="56" t="s">
        <v>334</v>
      </c>
      <c r="D360" s="32" t="s">
        <v>344</v>
      </c>
      <c r="E360" s="32">
        <v>1</v>
      </c>
      <c r="F360" s="33">
        <v>1</v>
      </c>
      <c r="G360" s="14">
        <f t="shared" si="29"/>
        <v>1</v>
      </c>
    </row>
    <row r="361" spans="2:7" ht="27.6" x14ac:dyDescent="0.25">
      <c r="B361" s="13">
        <v>30.5</v>
      </c>
      <c r="C361" s="56" t="s">
        <v>335</v>
      </c>
      <c r="D361" s="32" t="s">
        <v>344</v>
      </c>
      <c r="E361" s="32">
        <v>1</v>
      </c>
      <c r="F361" s="33">
        <v>1</v>
      </c>
      <c r="G361" s="14">
        <f t="shared" si="29"/>
        <v>1</v>
      </c>
    </row>
    <row r="362" spans="2:7" ht="27.6" x14ac:dyDescent="0.25">
      <c r="B362" s="13">
        <v>30.6</v>
      </c>
      <c r="C362" s="56" t="s">
        <v>336</v>
      </c>
      <c r="D362" s="32" t="s">
        <v>344</v>
      </c>
      <c r="E362" s="32">
        <v>1</v>
      </c>
      <c r="F362" s="33">
        <v>1</v>
      </c>
      <c r="G362" s="14">
        <f t="shared" si="29"/>
        <v>1</v>
      </c>
    </row>
    <row r="363" spans="2:7" ht="27.6" x14ac:dyDescent="0.25">
      <c r="B363" s="13">
        <v>30.7</v>
      </c>
      <c r="C363" s="56" t="s">
        <v>337</v>
      </c>
      <c r="D363" s="32" t="s">
        <v>344</v>
      </c>
      <c r="E363" s="32">
        <v>1</v>
      </c>
      <c r="F363" s="33">
        <v>1</v>
      </c>
      <c r="G363" s="14">
        <f t="shared" si="29"/>
        <v>1</v>
      </c>
    </row>
    <row r="364" spans="2:7" ht="27.6" x14ac:dyDescent="0.25">
      <c r="B364" s="13">
        <v>30.8</v>
      </c>
      <c r="C364" s="56" t="s">
        <v>338</v>
      </c>
      <c r="D364" s="32" t="s">
        <v>344</v>
      </c>
      <c r="E364" s="32">
        <v>1</v>
      </c>
      <c r="F364" s="33">
        <v>1</v>
      </c>
      <c r="G364" s="14">
        <f t="shared" si="29"/>
        <v>1</v>
      </c>
    </row>
    <row r="365" spans="2:7" ht="27.6" x14ac:dyDescent="0.25">
      <c r="B365" s="13">
        <v>30.9</v>
      </c>
      <c r="C365" s="56" t="s">
        <v>339</v>
      </c>
      <c r="D365" s="32" t="s">
        <v>344</v>
      </c>
      <c r="E365" s="32">
        <v>1</v>
      </c>
      <c r="F365" s="33">
        <v>1</v>
      </c>
      <c r="G365" s="14">
        <f t="shared" si="29"/>
        <v>1</v>
      </c>
    </row>
    <row r="366" spans="2:7" ht="27.6" x14ac:dyDescent="0.25">
      <c r="B366" s="35">
        <v>30.1</v>
      </c>
      <c r="C366" s="56" t="s">
        <v>340</v>
      </c>
      <c r="D366" s="32" t="s">
        <v>344</v>
      </c>
      <c r="E366" s="32">
        <v>1</v>
      </c>
      <c r="F366" s="33">
        <v>1</v>
      </c>
      <c r="G366" s="14">
        <f t="shared" si="29"/>
        <v>1</v>
      </c>
    </row>
    <row r="367" spans="2:7" ht="27.6" x14ac:dyDescent="0.25">
      <c r="B367" s="13">
        <v>30.11</v>
      </c>
      <c r="C367" s="56" t="s">
        <v>341</v>
      </c>
      <c r="D367" s="32" t="s">
        <v>344</v>
      </c>
      <c r="E367" s="32">
        <v>1</v>
      </c>
      <c r="F367" s="33">
        <v>1</v>
      </c>
      <c r="G367" s="14">
        <f t="shared" si="29"/>
        <v>1</v>
      </c>
    </row>
    <row r="368" spans="2:7" ht="27.6" x14ac:dyDescent="0.25">
      <c r="B368" s="15">
        <v>30.12</v>
      </c>
      <c r="C368" s="57" t="s">
        <v>342</v>
      </c>
      <c r="D368" s="16" t="s">
        <v>344</v>
      </c>
      <c r="E368" s="16">
        <v>1</v>
      </c>
      <c r="F368" s="17">
        <v>1</v>
      </c>
      <c r="G368" s="18">
        <f t="shared" si="29"/>
        <v>1</v>
      </c>
    </row>
  </sheetData>
  <mergeCells count="13">
    <mergeCell ref="B2:G2"/>
    <mergeCell ref="B4:C4"/>
    <mergeCell ref="B5:C5"/>
    <mergeCell ref="B6:C6"/>
    <mergeCell ref="B7:C7"/>
    <mergeCell ref="B10:C10"/>
    <mergeCell ref="D10:G10"/>
    <mergeCell ref="B8:C8"/>
    <mergeCell ref="D4:G4"/>
    <mergeCell ref="D5:G5"/>
    <mergeCell ref="D6:G6"/>
    <mergeCell ref="D7:G7"/>
    <mergeCell ref="D8:G8"/>
  </mergeCells>
  <pageMargins left="0.7" right="0.7" top="0.75" bottom="0.75" header="0.3" footer="0.3"/>
  <pageSetup scale="6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FFDDD-0D78-4EB9-BF35-2BFC82AAEACA}">
  <sheetPr>
    <tabColor theme="2" tint="-0.499984740745262"/>
  </sheetPr>
  <dimension ref="A1"/>
  <sheetViews>
    <sheetView showGridLines="0" showRowColHeaders="0" workbookViewId="0">
      <selection activeCell="I29" sqref="I29"/>
    </sheetView>
  </sheetViews>
  <sheetFormatPr baseColWidth="10" defaultRowHeight="14.4" x14ac:dyDescent="0.3"/>
  <sheetData/>
  <sheetProtection algorithmName="SHA-512" hashValue="OpAo0l3uS/9Znjj8d3uD+4MBV8U13eTKPSPNk/stghxCcXOI+FcLQjFlK4r2Mdy2GU+myviyoEa7MRu6woVc/A==" saltValue="Rqc5GCvqhO4tjEbjE6cQvg==" spinCount="100000" sheet="1" objects="1" scenarios="1" selectLockedCells="1" selectUnlockedCell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Presupuesto</vt:lpstr>
      <vt:lpstr>PlugCAD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Fredy Sorto</dc:creator>
  <cp:lastModifiedBy>Fredy Sorto</cp:lastModifiedBy>
  <cp:lastPrinted>2024-12-27T23:49:23Z</cp:lastPrinted>
  <dcterms:created xsi:type="dcterms:W3CDTF">2024-12-27T23:17:01Z</dcterms:created>
  <dcterms:modified xsi:type="dcterms:W3CDTF">2024-12-28T21:45:21Z</dcterms:modified>
</cp:coreProperties>
</file>