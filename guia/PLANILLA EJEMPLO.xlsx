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D:\Instaladores jhilmar\MODELO DE PLANILLAS\EXEL PLANILLAS 04-08-2023\"/>
    </mc:Choice>
  </mc:AlternateContent>
  <xr:revisionPtr revIDLastSave="0" documentId="13_ncr:1_{350188E6-6D3E-47DD-B971-46F989C8529F}" xr6:coauthVersionLast="47" xr6:coauthVersionMax="47" xr10:uidLastSave="{00000000-0000-0000-0000-000000000000}"/>
  <bookViews>
    <workbookView xWindow="-120" yWindow="-120" windowWidth="29040" windowHeight="15840" firstSheet="2" activeTab="6" xr2:uid="{00000000-000D-0000-FFFF-FFFF00000000}"/>
  </bookViews>
  <sheets>
    <sheet name="PRESUPUESTO GENERAL " sheetId="2" r:id="rId1"/>
    <sheet name="COMPUTOS METRICOS" sheetId="1" r:id="rId2"/>
    <sheet name="ANALISIS DE PRECIOS UNITARIOS" sheetId="3" r:id="rId3"/>
    <sheet name="ISUMOS MATERIALES" sheetId="4" r:id="rId4"/>
    <sheet name="lista de proveedores " sheetId="7" r:id="rId5"/>
    <sheet name="INSUMO MANO DE OBRA" sheetId="5" r:id="rId6"/>
    <sheet name="INSUMO EQUIPO Y MAQUINARIA" sheetId="6" r:id="rId7"/>
    <sheet name="CRONOGRAMA" sheetId="8" r:id="rId8"/>
  </sheets>
  <definedNames>
    <definedName name="_xlnm._FilterDatabase" localSheetId="1" hidden="1">'COMPUTOS METRICOS'!$B$2:$B$482</definedName>
    <definedName name="_xlcn.WorksheetConnection_PLANILLAEJEMPLO.xlsxInsumoMateriales1" hidden="1">InsumoMateriales[]</definedName>
    <definedName name="_xlcn.WorksheetConnection_PLANILLAEJEMPLO.xlsxlistadeproveedores1" hidden="1">listadeproveedores[]</definedName>
    <definedName name="_xlcn.WorksheetConnection_PLANILLAEJEMPLO.xlsxTabla41" hidden="1">Tabla4</definedName>
    <definedName name="CargasSociales">'ANALISIS DE PRECIOS UNITARIOS'!$E$22</definedName>
    <definedName name="Gastosgenerales">'ANALISIS DE PRECIOS UNITARIOS'!$F$35</definedName>
    <definedName name="ImpuestosIT">'ANALISIS DE PRECIOS UNITARIOS'!$F$39</definedName>
    <definedName name="Preciounitario">'ANALISIS DE PRECIOS UNITARIOS'!$F$40</definedName>
    <definedName name="PreciounitarioOP01">'ANALISIS DE PRECIOS UNITARIOS'!$F$40</definedName>
    <definedName name="PrecioUnitarioOP02">'ANALISIS DE PRECIOS UNITARIOS'!$F$82</definedName>
    <definedName name="Subtotalmanodeobra">'ANALISIS DE PRECIOS UNITARIOS'!$F$21</definedName>
    <definedName name="tem">'ANALISIS DE PRECIOS UNITARIOS'!$F$74</definedName>
    <definedName name="_xlnm.Print_Titles" localSheetId="1">'COMPUTOS METRICOS'!$2:$3</definedName>
    <definedName name="tm">'ANALISIS DE PRECIOS UNITARIOS'!$F$56</definedName>
    <definedName name="tmo">'ANALISIS DE PRECIOS UNITARIOS'!$F$66</definedName>
    <definedName name="Totalequipomaquinariayherramientas">'ANALISIS DE PRECIOS UNITARIOS'!$F$32</definedName>
    <definedName name="Totalmanodeobra">'ANALISIS DE PRECIOS UNITARIOS'!$F$24</definedName>
    <definedName name="TotalMateriales">'ANALISIS DE PRECIOS UNITARIOS'!$F$14</definedName>
    <definedName name="UNITARIOS">#REF!</definedName>
    <definedName name="Utilidad">'ANALISIS DE PRECIOS UNITARIOS'!$F$37</definedName>
  </definedNames>
  <calcPr calcId="191029"/>
  <pivotCaches>
    <pivotCache cacheId="0" r:id="rId9"/>
    <pivotCache cacheId="1" r:id="rId10"/>
    <pivotCache cacheId="2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4-c07d35c8-fff0-442f-bdac-295a67cb7c67" name="Tabla4" connection="WorksheetConnection_PLANILLA EJEMPLO.xlsx!Tabla4"/>
          <x15:modelTable id="listadeproveedores-ff795c22-1aa0-4524-a952-68e9f78a3f0c" name="listadeproveedores" connection="WorksheetConnection_PLANILLA EJEMPLO.xlsx!listadeproveedores"/>
          <x15:modelTable id="InsumoMateriales-bc1f576e-700e-4f44-9f9d-0515e0fd21c0" name="InsumoMateriales" connection="WorksheetConnection_PLANILLA EJEMPLO.xlsx!InsumoMateriales"/>
        </x15:modelTables>
      </x15:dataModel>
    </ext>
  </extLst>
</workbook>
</file>

<file path=xl/calcChain.xml><?xml version="1.0" encoding="utf-8"?>
<calcChain xmlns="http://schemas.openxmlformats.org/spreadsheetml/2006/main">
  <c r="G18" i="8" l="1"/>
  <c r="E3" i="8" l="1"/>
  <c r="C4" i="8" s="1"/>
  <c r="E4" i="8" s="1"/>
  <c r="C5" i="8" s="1"/>
  <c r="E5" i="8" l="1"/>
  <c r="C6" i="8" s="1"/>
  <c r="E6" i="8" l="1"/>
  <c r="C7" i="8" s="1"/>
  <c r="E7" i="8" l="1"/>
  <c r="C8" i="8" s="1"/>
  <c r="E8" i="8" l="1"/>
  <c r="C9" i="8" s="1"/>
  <c r="E9" i="8" l="1"/>
  <c r="C10" i="8" s="1"/>
  <c r="E10" i="8" l="1"/>
  <c r="C11" i="8" s="1"/>
  <c r="E11" i="8" l="1"/>
  <c r="E12" i="8" l="1"/>
  <c r="E70" i="3"/>
  <c r="C70" i="3"/>
  <c r="B70" i="3"/>
  <c r="B62" i="3"/>
  <c r="C62" i="3"/>
  <c r="E62" i="3"/>
  <c r="E61" i="3"/>
  <c r="C61" i="3"/>
  <c r="B61" i="3"/>
  <c r="C60" i="3"/>
  <c r="B60" i="3"/>
  <c r="B53" i="3"/>
  <c r="C53" i="3"/>
  <c r="E53" i="3"/>
  <c r="F53" i="3" s="1"/>
  <c r="B54" i="3"/>
  <c r="C54" i="3"/>
  <c r="E54" i="3"/>
  <c r="F54" i="3" s="1"/>
  <c r="B55" i="3"/>
  <c r="C55" i="3"/>
  <c r="E55" i="3"/>
  <c r="F55" i="3" s="1"/>
  <c r="E52" i="3"/>
  <c r="F52" i="3" s="1"/>
  <c r="C52" i="3"/>
  <c r="B52" i="3"/>
  <c r="B19" i="3"/>
  <c r="C19" i="3"/>
  <c r="E19" i="3"/>
  <c r="E18" i="3"/>
  <c r="C18" i="3"/>
  <c r="B18" i="3"/>
  <c r="E11" i="3"/>
  <c r="C11" i="3"/>
  <c r="B11" i="3"/>
  <c r="E60" i="3"/>
  <c r="E13" i="8" l="1"/>
  <c r="C14" i="8" s="1"/>
  <c r="F72" i="3"/>
  <c r="F71" i="3"/>
  <c r="F70" i="3"/>
  <c r="F62" i="3"/>
  <c r="F61" i="3"/>
  <c r="F60" i="3"/>
  <c r="F56" i="3"/>
  <c r="B48" i="3"/>
  <c r="B47" i="3"/>
  <c r="B46" i="3"/>
  <c r="B44" i="3"/>
  <c r="F30" i="3"/>
  <c r="F29" i="3"/>
  <c r="F28" i="3"/>
  <c r="F20" i="3"/>
  <c r="F19" i="3"/>
  <c r="F18" i="3"/>
  <c r="F12" i="3"/>
  <c r="F13" i="3"/>
  <c r="F11" i="3"/>
  <c r="B7" i="3"/>
  <c r="B6" i="3"/>
  <c r="B5" i="3"/>
  <c r="B3" i="3"/>
  <c r="F14" i="3" l="1"/>
  <c r="E14" i="8"/>
  <c r="C15" i="8" s="1"/>
  <c r="F63" i="3"/>
  <c r="F21" i="3"/>
  <c r="F64" i="3" s="1"/>
  <c r="F65" i="3" s="1"/>
  <c r="J159" i="1"/>
  <c r="J158" i="1"/>
  <c r="J157" i="1"/>
  <c r="J156" i="1"/>
  <c r="J155" i="1"/>
  <c r="J154" i="1"/>
  <c r="J153" i="1"/>
  <c r="J152" i="1"/>
  <c r="J150" i="1"/>
  <c r="J144" i="1"/>
  <c r="J145" i="1"/>
  <c r="J146" i="1"/>
  <c r="J147" i="1"/>
  <c r="J148" i="1"/>
  <c r="J149" i="1"/>
  <c r="J143" i="1"/>
  <c r="J141" i="1"/>
  <c r="J140" i="1"/>
  <c r="J139" i="1"/>
  <c r="J137" i="1"/>
  <c r="J138" i="1"/>
  <c r="J136" i="1"/>
  <c r="J133" i="1"/>
  <c r="J132" i="1"/>
  <c r="J131" i="1"/>
  <c r="J129" i="1"/>
  <c r="J130" i="1"/>
  <c r="J128" i="1"/>
  <c r="J126" i="1"/>
  <c r="J125" i="1"/>
  <c r="J123" i="1"/>
  <c r="J122" i="1"/>
  <c r="J120" i="1"/>
  <c r="J119" i="1"/>
  <c r="J117" i="1"/>
  <c r="J116" i="1"/>
  <c r="J115" i="1"/>
  <c r="J114" i="1"/>
  <c r="J113" i="1"/>
  <c r="J112" i="1"/>
  <c r="J111" i="1"/>
  <c r="J110" i="1"/>
  <c r="J108" i="1"/>
  <c r="J107" i="1"/>
  <c r="J105" i="1"/>
  <c r="J103" i="1"/>
  <c r="J102" i="1"/>
  <c r="J100" i="1"/>
  <c r="J98" i="1"/>
  <c r="J97" i="1"/>
  <c r="J95" i="1"/>
  <c r="J94" i="1"/>
  <c r="J93" i="1"/>
  <c r="J92" i="1"/>
  <c r="J91" i="1"/>
  <c r="J89" i="1"/>
  <c r="J88" i="1"/>
  <c r="J85" i="1"/>
  <c r="J86" i="1"/>
  <c r="J84" i="1"/>
  <c r="J83" i="1"/>
  <c r="J82" i="1"/>
  <c r="J80" i="1"/>
  <c r="J79" i="1"/>
  <c r="J78" i="1"/>
  <c r="J76" i="1"/>
  <c r="J75" i="1"/>
  <c r="J74" i="1"/>
  <c r="J73" i="1"/>
  <c r="J72" i="1"/>
  <c r="J69" i="1"/>
  <c r="J70" i="1"/>
  <c r="J68" i="1"/>
  <c r="J66" i="1"/>
  <c r="J64" i="1"/>
  <c r="J65" i="1"/>
  <c r="J63" i="1"/>
  <c r="J62" i="1"/>
  <c r="J60" i="1"/>
  <c r="J59" i="1"/>
  <c r="J58" i="1"/>
  <c r="J56" i="1"/>
  <c r="J55" i="1"/>
  <c r="J54" i="1"/>
  <c r="J53" i="1"/>
  <c r="J52" i="1"/>
  <c r="J51" i="1"/>
  <c r="J50" i="1"/>
  <c r="J49" i="1"/>
  <c r="J47" i="1"/>
  <c r="J46" i="1"/>
  <c r="J43" i="1"/>
  <c r="J44" i="1"/>
  <c r="J42" i="1"/>
  <c r="J35" i="1"/>
  <c r="J36" i="1"/>
  <c r="J37" i="1"/>
  <c r="J38" i="1"/>
  <c r="J39" i="1"/>
  <c r="J40" i="1"/>
  <c r="J34" i="1"/>
  <c r="J33" i="1"/>
  <c r="J31" i="1"/>
  <c r="J30" i="1"/>
  <c r="J29" i="1"/>
  <c r="J28" i="1"/>
  <c r="J27" i="1"/>
  <c r="J26" i="1"/>
  <c r="J25" i="1"/>
  <c r="J24" i="1"/>
  <c r="J22" i="1"/>
  <c r="J20" i="1"/>
  <c r="J14" i="1"/>
  <c r="J15" i="1"/>
  <c r="J16" i="1"/>
  <c r="J17" i="1"/>
  <c r="J18" i="1"/>
  <c r="J19" i="1"/>
  <c r="J13" i="1"/>
  <c r="J9" i="1"/>
  <c r="K7" i="1" s="1"/>
  <c r="J10" i="1"/>
  <c r="J8" i="1"/>
  <c r="J6" i="1"/>
  <c r="K5" i="1" s="1"/>
  <c r="F66" i="3" l="1"/>
  <c r="E15" i="8"/>
  <c r="C16" i="8" s="1"/>
  <c r="F22" i="3"/>
  <c r="F23" i="3" s="1"/>
  <c r="F24" i="3" s="1"/>
  <c r="F73" i="3" s="1"/>
  <c r="F74" i="3" s="1"/>
  <c r="K12" i="1"/>
  <c r="J474" i="1"/>
  <c r="J473" i="1"/>
  <c r="J472" i="1"/>
  <c r="J471" i="1"/>
  <c r="J470" i="1"/>
  <c r="J469" i="1"/>
  <c r="J468" i="1"/>
  <c r="J467" i="1"/>
  <c r="J466" i="1"/>
  <c r="J464" i="1"/>
  <c r="J463" i="1"/>
  <c r="J462" i="1"/>
  <c r="J460" i="1"/>
  <c r="J459" i="1"/>
  <c r="J458" i="1"/>
  <c r="J457" i="1"/>
  <c r="J456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E455" i="1"/>
  <c r="E475" i="1"/>
  <c r="J476" i="1"/>
  <c r="J477" i="1"/>
  <c r="J478" i="1"/>
  <c r="J479" i="1"/>
  <c r="E480" i="1"/>
  <c r="E16" i="8" l="1"/>
  <c r="C17" i="8" s="1"/>
  <c r="F77" i="3"/>
  <c r="F79" i="3" s="1"/>
  <c r="F81" i="3" s="1"/>
  <c r="F82" i="3" s="1"/>
  <c r="E9" i="2" s="1"/>
  <c r="F31" i="3"/>
  <c r="F32" i="3" s="1"/>
  <c r="F35" i="3" s="1"/>
  <c r="F37" i="3" s="1"/>
  <c r="K418" i="1"/>
  <c r="K455" i="1"/>
  <c r="K475" i="1"/>
  <c r="J260" i="1"/>
  <c r="J259" i="1"/>
  <c r="J258" i="1"/>
  <c r="J257" i="1"/>
  <c r="J256" i="1"/>
  <c r="J255" i="1"/>
  <c r="J242" i="1"/>
  <c r="J241" i="1"/>
  <c r="J240" i="1"/>
  <c r="J239" i="1"/>
  <c r="J238" i="1"/>
  <c r="J237" i="1"/>
  <c r="J226" i="1"/>
  <c r="J227" i="1"/>
  <c r="J228" i="1"/>
  <c r="J229" i="1"/>
  <c r="J230" i="1"/>
  <c r="J231" i="1"/>
  <c r="J232" i="1"/>
  <c r="J233" i="1"/>
  <c r="J234" i="1"/>
  <c r="J235" i="1"/>
  <c r="J236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25" i="1"/>
  <c r="J223" i="1"/>
  <c r="J222" i="1"/>
  <c r="J221" i="1"/>
  <c r="J220" i="1"/>
  <c r="J219" i="1"/>
  <c r="J218" i="1"/>
  <c r="J217" i="1"/>
  <c r="J216" i="1"/>
  <c r="J215" i="1"/>
  <c r="J213" i="1"/>
  <c r="J212" i="1"/>
  <c r="J211" i="1"/>
  <c r="J209" i="1"/>
  <c r="J208" i="1"/>
  <c r="J207" i="1"/>
  <c r="J206" i="1"/>
  <c r="J205" i="1"/>
  <c r="E224" i="1"/>
  <c r="E17" i="8" l="1"/>
  <c r="C18" i="8" s="1"/>
  <c r="F39" i="3"/>
  <c r="K224" i="1"/>
  <c r="K204" i="1"/>
  <c r="E18" i="8" l="1"/>
  <c r="C19" i="8" s="1"/>
  <c r="F40" i="3"/>
  <c r="F44" i="3" s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6" i="1"/>
  <c r="J297" i="1"/>
  <c r="J291" i="1"/>
  <c r="J292" i="1"/>
  <c r="J293" i="1"/>
  <c r="J294" i="1"/>
  <c r="J295" i="1"/>
  <c r="J288" i="1"/>
  <c r="J289" i="1"/>
  <c r="J290" i="1"/>
  <c r="J287" i="1"/>
  <c r="J286" i="1"/>
  <c r="J281" i="1"/>
  <c r="J283" i="1"/>
  <c r="J279" i="1"/>
  <c r="J280" i="1"/>
  <c r="J282" i="1"/>
  <c r="J284" i="1"/>
  <c r="J277" i="1"/>
  <c r="J276" i="1"/>
  <c r="J275" i="1"/>
  <c r="J273" i="1"/>
  <c r="J274" i="1"/>
  <c r="J272" i="1"/>
  <c r="J267" i="1"/>
  <c r="J266" i="1"/>
  <c r="J265" i="1"/>
  <c r="J263" i="1"/>
  <c r="J264" i="1"/>
  <c r="J262" i="1"/>
  <c r="J270" i="1"/>
  <c r="J269" i="1"/>
  <c r="J482" i="1"/>
  <c r="J481" i="1"/>
  <c r="J203" i="1"/>
  <c r="J202" i="1"/>
  <c r="J201" i="1"/>
  <c r="J200" i="1"/>
  <c r="J199" i="1"/>
  <c r="J198" i="1"/>
  <c r="J197" i="1"/>
  <c r="J196" i="1"/>
  <c r="J194" i="1"/>
  <c r="J193" i="1"/>
  <c r="J192" i="1"/>
  <c r="J191" i="1"/>
  <c r="J190" i="1"/>
  <c r="J189" i="1"/>
  <c r="J188" i="1"/>
  <c r="J187" i="1"/>
  <c r="J349" i="1"/>
  <c r="J350" i="1"/>
  <c r="J351" i="1"/>
  <c r="J348" i="1"/>
  <c r="J356" i="1"/>
  <c r="J355" i="1"/>
  <c r="J354" i="1"/>
  <c r="J353" i="1"/>
  <c r="J342" i="1"/>
  <c r="J341" i="1"/>
  <c r="J340" i="1"/>
  <c r="J339" i="1"/>
  <c r="J338" i="1"/>
  <c r="J337" i="1"/>
  <c r="J336" i="1"/>
  <c r="J330" i="1"/>
  <c r="J331" i="1"/>
  <c r="J332" i="1"/>
  <c r="J333" i="1"/>
  <c r="J334" i="1"/>
  <c r="J335" i="1"/>
  <c r="J329" i="1"/>
  <c r="J323" i="1"/>
  <c r="J324" i="1"/>
  <c r="J325" i="1"/>
  <c r="J326" i="1"/>
  <c r="J327" i="1"/>
  <c r="J322" i="1"/>
  <c r="J346" i="1"/>
  <c r="K345" i="1" s="1"/>
  <c r="J344" i="1"/>
  <c r="K343" i="1" s="1"/>
  <c r="J320" i="1"/>
  <c r="K319" i="1" s="1"/>
  <c r="J318" i="1"/>
  <c r="K317" i="1" s="1"/>
  <c r="E19" i="8" l="1"/>
  <c r="C20" i="8" s="1"/>
  <c r="F3" i="3"/>
  <c r="E8" i="2"/>
  <c r="K480" i="1"/>
  <c r="K285" i="1"/>
  <c r="K271" i="1"/>
  <c r="K278" i="1"/>
  <c r="K268" i="1"/>
  <c r="K261" i="1"/>
  <c r="K186" i="1"/>
  <c r="K195" i="1"/>
  <c r="K347" i="1"/>
  <c r="K352" i="1"/>
  <c r="K328" i="1"/>
  <c r="K321" i="1"/>
  <c r="J416" i="1"/>
  <c r="J415" i="1"/>
  <c r="J413" i="1"/>
  <c r="J412" i="1"/>
  <c r="J411" i="1"/>
  <c r="J410" i="1"/>
  <c r="J409" i="1"/>
  <c r="J408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89" i="1"/>
  <c r="J382" i="1"/>
  <c r="J388" i="1"/>
  <c r="J387" i="1"/>
  <c r="J386" i="1"/>
  <c r="J385" i="1"/>
  <c r="J384" i="1"/>
  <c r="J383" i="1"/>
  <c r="J377" i="1"/>
  <c r="J378" i="1"/>
  <c r="J379" i="1"/>
  <c r="J380" i="1"/>
  <c r="J381" i="1"/>
  <c r="J376" i="1"/>
  <c r="J374" i="1"/>
  <c r="J373" i="1"/>
  <c r="J372" i="1"/>
  <c r="J371" i="1"/>
  <c r="J359" i="1"/>
  <c r="J358" i="1"/>
  <c r="J368" i="1"/>
  <c r="J367" i="1"/>
  <c r="J365" i="1"/>
  <c r="J364" i="1"/>
  <c r="J362" i="1"/>
  <c r="J361" i="1"/>
  <c r="E20" i="8" l="1"/>
  <c r="C21" i="8" s="1"/>
  <c r="K360" i="1"/>
  <c r="K414" i="1"/>
  <c r="K370" i="1"/>
  <c r="K390" i="1"/>
  <c r="K363" i="1"/>
  <c r="K375" i="1"/>
  <c r="K407" i="1"/>
  <c r="K366" i="1"/>
  <c r="K357" i="1"/>
  <c r="E21" i="8" l="1"/>
  <c r="C22" i="8" s="1"/>
  <c r="J179" i="1"/>
  <c r="J166" i="1"/>
  <c r="J161" i="1"/>
  <c r="K21" i="1"/>
  <c r="E22" i="8" l="1"/>
  <c r="C23" i="8" s="1"/>
  <c r="J185" i="1"/>
  <c r="J184" i="1"/>
  <c r="J181" i="1"/>
  <c r="J182" i="1"/>
  <c r="J180" i="1"/>
  <c r="J167" i="1"/>
  <c r="J168" i="1"/>
  <c r="J169" i="1"/>
  <c r="J170" i="1"/>
  <c r="J171" i="1"/>
  <c r="J172" i="1"/>
  <c r="J173" i="1"/>
  <c r="J174" i="1"/>
  <c r="J175" i="1"/>
  <c r="J176" i="1"/>
  <c r="J177" i="1"/>
  <c r="J163" i="1"/>
  <c r="J164" i="1"/>
  <c r="J162" i="1"/>
  <c r="E23" i="8" l="1"/>
  <c r="C24" i="8" s="1"/>
  <c r="K178" i="1"/>
  <c r="K165" i="1"/>
  <c r="K160" i="1"/>
  <c r="K151" i="1"/>
  <c r="E48" i="1"/>
  <c r="E24" i="8" l="1"/>
  <c r="C25" i="8" s="1"/>
  <c r="E124" i="1"/>
  <c r="B124" i="1"/>
  <c r="A124" i="1"/>
  <c r="E25" i="8" l="1"/>
  <c r="C26" i="8" s="1"/>
  <c r="K142" i="1"/>
  <c r="K124" i="1"/>
  <c r="K127" i="1"/>
  <c r="A417" i="1"/>
  <c r="A418" i="1"/>
  <c r="B418" i="1"/>
  <c r="E418" i="1"/>
  <c r="A455" i="1"/>
  <c r="B455" i="1"/>
  <c r="A475" i="1"/>
  <c r="B475" i="1"/>
  <c r="A480" i="1"/>
  <c r="B480" i="1"/>
  <c r="A363" i="1"/>
  <c r="B363" i="1"/>
  <c r="E363" i="1"/>
  <c r="A366" i="1"/>
  <c r="B366" i="1"/>
  <c r="E366" i="1"/>
  <c r="A369" i="1"/>
  <c r="A370" i="1"/>
  <c r="B370" i="1"/>
  <c r="E370" i="1"/>
  <c r="A375" i="1"/>
  <c r="B375" i="1"/>
  <c r="E375" i="1"/>
  <c r="A390" i="1"/>
  <c r="B390" i="1"/>
  <c r="E390" i="1"/>
  <c r="A407" i="1"/>
  <c r="B407" i="1"/>
  <c r="E407" i="1"/>
  <c r="A414" i="1"/>
  <c r="B414" i="1"/>
  <c r="E414" i="1"/>
  <c r="A319" i="1"/>
  <c r="B319" i="1"/>
  <c r="E319" i="1"/>
  <c r="A321" i="1"/>
  <c r="B321" i="1"/>
  <c r="E321" i="1"/>
  <c r="A328" i="1"/>
  <c r="B328" i="1"/>
  <c r="E328" i="1"/>
  <c r="A343" i="1"/>
  <c r="B343" i="1"/>
  <c r="E343" i="1"/>
  <c r="A345" i="1"/>
  <c r="B345" i="1"/>
  <c r="E345" i="1"/>
  <c r="A347" i="1"/>
  <c r="B347" i="1"/>
  <c r="E347" i="1"/>
  <c r="A352" i="1"/>
  <c r="B352" i="1"/>
  <c r="E352" i="1"/>
  <c r="A357" i="1"/>
  <c r="B357" i="1"/>
  <c r="E357" i="1"/>
  <c r="A360" i="1"/>
  <c r="B360" i="1"/>
  <c r="E360" i="1"/>
  <c r="A268" i="1"/>
  <c r="B268" i="1"/>
  <c r="E268" i="1"/>
  <c r="A271" i="1"/>
  <c r="B271" i="1"/>
  <c r="E271" i="1"/>
  <c r="A278" i="1"/>
  <c r="B278" i="1"/>
  <c r="E278" i="1"/>
  <c r="A285" i="1"/>
  <c r="B285" i="1"/>
  <c r="E285" i="1"/>
  <c r="A316" i="1"/>
  <c r="A317" i="1"/>
  <c r="B317" i="1"/>
  <c r="E317" i="1"/>
  <c r="A151" i="1"/>
  <c r="B151" i="1"/>
  <c r="E151" i="1"/>
  <c r="A160" i="1"/>
  <c r="B160" i="1"/>
  <c r="E160" i="1"/>
  <c r="A165" i="1"/>
  <c r="B165" i="1"/>
  <c r="E165" i="1"/>
  <c r="A178" i="1"/>
  <c r="B178" i="1"/>
  <c r="E178" i="1"/>
  <c r="A186" i="1"/>
  <c r="B186" i="1"/>
  <c r="E186" i="1"/>
  <c r="A195" i="1"/>
  <c r="B195" i="1"/>
  <c r="E195" i="1"/>
  <c r="A204" i="1"/>
  <c r="B204" i="1"/>
  <c r="E204" i="1"/>
  <c r="A224" i="1"/>
  <c r="B224" i="1"/>
  <c r="A261" i="1"/>
  <c r="B261" i="1"/>
  <c r="E261" i="1"/>
  <c r="E142" i="1"/>
  <c r="B142" i="1"/>
  <c r="A142" i="1"/>
  <c r="E135" i="1"/>
  <c r="B135" i="1"/>
  <c r="A135" i="1"/>
  <c r="E32" i="1"/>
  <c r="B32" i="1"/>
  <c r="A32" i="1"/>
  <c r="E23" i="1"/>
  <c r="B23" i="1"/>
  <c r="A23" i="1"/>
  <c r="E21" i="1"/>
  <c r="B21" i="1"/>
  <c r="A21" i="1"/>
  <c r="E12" i="1"/>
  <c r="B12" i="1"/>
  <c r="A12" i="1"/>
  <c r="A11" i="1"/>
  <c r="E7" i="1"/>
  <c r="B7" i="1"/>
  <c r="A7" i="1"/>
  <c r="E5" i="1"/>
  <c r="B5" i="1"/>
  <c r="A5" i="1"/>
  <c r="E26" i="8" l="1"/>
  <c r="C27" i="8" s="1"/>
  <c r="K135" i="1"/>
  <c r="A134" i="1"/>
  <c r="E127" i="1"/>
  <c r="E27" i="8" l="1"/>
  <c r="C28" i="8" s="1"/>
  <c r="K118" i="1"/>
  <c r="E28" i="8" l="1"/>
  <c r="C29" i="8" s="1"/>
  <c r="K45" i="1"/>
  <c r="K61" i="1"/>
  <c r="K81" i="1"/>
  <c r="K99" i="1"/>
  <c r="K109" i="1"/>
  <c r="K121" i="1"/>
  <c r="E45" i="1"/>
  <c r="E61" i="1"/>
  <c r="E81" i="1"/>
  <c r="E99" i="1"/>
  <c r="E109" i="1"/>
  <c r="E118" i="1"/>
  <c r="E121" i="1"/>
  <c r="A45" i="1"/>
  <c r="B45" i="1"/>
  <c r="A48" i="1"/>
  <c r="B48" i="1"/>
  <c r="A61" i="1"/>
  <c r="B61" i="1"/>
  <c r="A81" i="1"/>
  <c r="B81" i="1"/>
  <c r="A99" i="1"/>
  <c r="B99" i="1"/>
  <c r="A109" i="1"/>
  <c r="B109" i="1"/>
  <c r="A118" i="1"/>
  <c r="B118" i="1"/>
  <c r="A121" i="1"/>
  <c r="B121" i="1"/>
  <c r="A127" i="1"/>
  <c r="B127" i="1"/>
  <c r="A4" i="1"/>
  <c r="E29" i="8" l="1"/>
  <c r="C30" i="8" s="1"/>
  <c r="D27" i="2"/>
  <c r="F27" i="2" s="1"/>
  <c r="D22" i="2"/>
  <c r="D15" i="2"/>
  <c r="F15" i="2" s="1"/>
  <c r="D23" i="2"/>
  <c r="F23" i="2" s="1"/>
  <c r="D24" i="2"/>
  <c r="F24" i="2" s="1"/>
  <c r="D26" i="2"/>
  <c r="D28" i="2"/>
  <c r="F28" i="2" s="1"/>
  <c r="D19" i="2"/>
  <c r="D18" i="2"/>
  <c r="F18" i="2" s="1"/>
  <c r="D29" i="2"/>
  <c r="F29" i="2" s="1"/>
  <c r="D21" i="2"/>
  <c r="D11" i="2"/>
  <c r="D30" i="2"/>
  <c r="D31" i="2"/>
  <c r="D9" i="2"/>
  <c r="F46" i="3" s="1"/>
  <c r="F48" i="3" s="1"/>
  <c r="D20" i="2"/>
  <c r="D12" i="2"/>
  <c r="D17" i="2"/>
  <c r="F17" i="2" s="1"/>
  <c r="D8" i="2"/>
  <c r="F22" i="2"/>
  <c r="D35" i="2"/>
  <c r="F35" i="2" s="1"/>
  <c r="D48" i="2"/>
  <c r="F48" i="2" s="1"/>
  <c r="D62" i="2"/>
  <c r="F62" i="2" s="1"/>
  <c r="D64" i="2"/>
  <c r="F64" i="2" s="1"/>
  <c r="D51" i="2"/>
  <c r="F51" i="2" s="1"/>
  <c r="D36" i="2"/>
  <c r="F36" i="2" s="1"/>
  <c r="D49" i="2"/>
  <c r="F49" i="2" s="1"/>
  <c r="D63" i="2"/>
  <c r="F63" i="2" s="1"/>
  <c r="D50" i="2"/>
  <c r="F50" i="2" s="1"/>
  <c r="D38" i="2"/>
  <c r="F38" i="2" s="1"/>
  <c r="D39" i="2"/>
  <c r="F39" i="2" s="1"/>
  <c r="D52" i="2"/>
  <c r="F52" i="2" s="1"/>
  <c r="D42" i="2"/>
  <c r="F42" i="2" s="1"/>
  <c r="D55" i="2"/>
  <c r="F55" i="2" s="1"/>
  <c r="F30" i="2"/>
  <c r="D56" i="2"/>
  <c r="F56" i="2" s="1"/>
  <c r="D40" i="2"/>
  <c r="F40" i="2" s="1"/>
  <c r="D53" i="2"/>
  <c r="F53" i="2" s="1"/>
  <c r="D43" i="2"/>
  <c r="F43" i="2" s="1"/>
  <c r="D46" i="2"/>
  <c r="F46" i="2" s="1"/>
  <c r="D59" i="2"/>
  <c r="F59" i="2" s="1"/>
  <c r="F31" i="2"/>
  <c r="D44" i="2"/>
  <c r="F44" i="2" s="1"/>
  <c r="D57" i="2"/>
  <c r="F57" i="2" s="1"/>
  <c r="F19" i="2"/>
  <c r="D32" i="2"/>
  <c r="F32" i="2" s="1"/>
  <c r="D45" i="2"/>
  <c r="F45" i="2" s="1"/>
  <c r="D58" i="2"/>
  <c r="F58" i="2" s="1"/>
  <c r="F20" i="2"/>
  <c r="D33" i="2"/>
  <c r="F33" i="2" s="1"/>
  <c r="F21" i="2"/>
  <c r="D34" i="2"/>
  <c r="F34" i="2" s="1"/>
  <c r="D47" i="2"/>
  <c r="F47" i="2" s="1"/>
  <c r="D61" i="2"/>
  <c r="F61" i="2" s="1"/>
  <c r="D37" i="2"/>
  <c r="F37" i="2" s="1"/>
  <c r="F26" i="2"/>
  <c r="K48" i="1"/>
  <c r="D16" i="2" s="1"/>
  <c r="K32" i="1"/>
  <c r="D14" i="2" s="1"/>
  <c r="K23" i="1"/>
  <c r="D13" i="2" s="1"/>
  <c r="F8" i="2" l="1"/>
  <c r="F5" i="3"/>
  <c r="F7" i="3" s="1"/>
  <c r="E30" i="8"/>
  <c r="C31" i="8" s="1"/>
  <c r="F11" i="2"/>
  <c r="F12" i="2"/>
  <c r="F9" i="2"/>
  <c r="F13" i="2"/>
  <c r="F16" i="2"/>
  <c r="F14" i="2"/>
  <c r="E31" i="8" l="1"/>
  <c r="C32" i="8" s="1"/>
  <c r="F65" i="2"/>
  <c r="E32" i="8" l="1"/>
  <c r="C33" i="8" s="1"/>
  <c r="E33" i="8" l="1"/>
  <c r="C34" i="8" s="1"/>
  <c r="E34" i="8" l="1"/>
  <c r="C35" i="8" s="1"/>
  <c r="E35" i="8" l="1"/>
  <c r="C36" i="8" s="1"/>
  <c r="E36" i="8" l="1"/>
  <c r="C37" i="8" s="1"/>
  <c r="E37" i="8" l="1"/>
  <c r="C38" i="8" s="1"/>
  <c r="E38" i="8" l="1"/>
  <c r="C39" i="8" s="1"/>
  <c r="E39" i="8" l="1"/>
  <c r="C40" i="8" s="1"/>
  <c r="E40" i="8" l="1"/>
  <c r="C41" i="8" s="1"/>
  <c r="E41" i="8" l="1"/>
  <c r="C42" i="8" s="1"/>
  <c r="E42" i="8" l="1"/>
  <c r="C43" i="8" s="1"/>
  <c r="E43" i="8" l="1"/>
  <c r="C44" i="8" s="1"/>
  <c r="E44" i="8" l="1"/>
  <c r="C45" i="8" s="1"/>
  <c r="E45" i="8" l="1"/>
  <c r="C46" i="8" s="1"/>
  <c r="E46" i="8" l="1"/>
  <c r="C47" i="8" s="1"/>
  <c r="E47" i="8" l="1"/>
  <c r="C48" i="8" s="1"/>
  <c r="E48" i="8" l="1"/>
  <c r="C49" i="8" s="1"/>
  <c r="E49" i="8" l="1"/>
  <c r="C50" i="8" s="1"/>
  <c r="E50" i="8" l="1"/>
  <c r="C51" i="8" s="1"/>
  <c r="E51" i="8" l="1"/>
  <c r="C52" i="8" s="1"/>
  <c r="E52" i="8" l="1"/>
  <c r="C53" i="8" s="1"/>
  <c r="E53" i="8" l="1"/>
  <c r="C54" i="8" s="1"/>
  <c r="E54" i="8" s="1"/>
  <c r="G19" i="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Modelo de datos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PLANILLA EJEMPLO.xlsx!InsumoMateriales" type="102" refreshedVersion="5" minRefreshableVersion="5">
    <extLst>
      <ext xmlns:x15="http://schemas.microsoft.com/office/spreadsheetml/2010/11/main" uri="{DE250136-89BD-433C-8126-D09CA5730AF9}">
        <x15:connection id="InsumoMateriales-bc1f576e-700e-4f44-9f9d-0515e0fd21c0">
          <x15:rangePr sourceName="_xlcn.WorksheetConnection_PLANILLAEJEMPLO.xlsxInsumoMateriales1"/>
        </x15:connection>
      </ext>
    </extLst>
  </connection>
  <connection id="3" xr16:uid="{00000000-0015-0000-FFFF-FFFF02000000}" name="WorksheetConnection_PLANILLA EJEMPLO.xlsx!listadeproveedores" type="102" refreshedVersion="5" minRefreshableVersion="5">
    <extLst>
      <ext xmlns:x15="http://schemas.microsoft.com/office/spreadsheetml/2010/11/main" uri="{DE250136-89BD-433C-8126-D09CA5730AF9}">
        <x15:connection id="listadeproveedores-ff795c22-1aa0-4524-a952-68e9f78a3f0c">
          <x15:rangePr sourceName="_xlcn.WorksheetConnection_PLANILLAEJEMPLO.xlsxlistadeproveedores1"/>
        </x15:connection>
      </ext>
    </extLst>
  </connection>
  <connection id="4" xr16:uid="{00000000-0015-0000-FFFF-FFFF03000000}" name="WorksheetConnection_PLANILLA EJEMPLO.xlsx!Tabla4" type="102" refreshedVersion="5" minRefreshableVersion="5">
    <extLst>
      <ext xmlns:x15="http://schemas.microsoft.com/office/spreadsheetml/2010/11/main" uri="{DE250136-89BD-433C-8126-D09CA5730AF9}">
        <x15:connection id="Tabla4-c07d35c8-fff0-442f-bdac-295a67cb7c67">
          <x15:rangePr sourceName="_xlcn.WorksheetConnection_PLANILLAEJEMPLO.xlsxTabla4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abla4].[PROVEEDORES].&amp;[Barraca San Pedro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<sst xmlns="http://schemas.openxmlformats.org/spreadsheetml/2006/main" count="1413" uniqueCount="538">
  <si>
    <t>PLANILLA DE COMPUTOS METRICOS</t>
  </si>
  <si>
    <t xml:space="preserve">COD. </t>
  </si>
  <si>
    <t>ITEM</t>
  </si>
  <si>
    <t>DESCRIPCION</t>
  </si>
  <si>
    <t>EJES</t>
  </si>
  <si>
    <t>DIMENSION</t>
  </si>
  <si>
    <t>Largo 
(m)</t>
  </si>
  <si>
    <t>Ancho
 (m)</t>
  </si>
  <si>
    <t>Alto 
(m)</t>
  </si>
  <si>
    <t xml:space="preserve">PARCIAL </t>
  </si>
  <si>
    <t>TOTAL</t>
  </si>
  <si>
    <t>N°
DE ELEMENTOS</t>
  </si>
  <si>
    <t>UNID.</t>
  </si>
  <si>
    <t xml:space="preserve">PRESUPUESTO GENERAL </t>
  </si>
  <si>
    <t>CONSTRUCCION VIVIENDA</t>
  </si>
  <si>
    <t>COD.</t>
  </si>
  <si>
    <t>CANTIDAD</t>
  </si>
  <si>
    <t>Contratista:</t>
  </si>
  <si>
    <t>INSTALACION DE FAENAS</t>
  </si>
  <si>
    <t>REPLANTEO</t>
  </si>
  <si>
    <t>OG 10</t>
  </si>
  <si>
    <t>OG 11</t>
  </si>
  <si>
    <t>OG 12</t>
  </si>
  <si>
    <t>COLUMNA H° A°</t>
  </si>
  <si>
    <t>OG 13</t>
  </si>
  <si>
    <t>VIGA H° A°</t>
  </si>
  <si>
    <t>ESCALERA H° A°</t>
  </si>
  <si>
    <t>Glb</t>
  </si>
  <si>
    <r>
      <t>m</t>
    </r>
    <r>
      <rPr>
        <sz val="11"/>
        <color theme="1"/>
        <rFont val="Calibri"/>
        <family val="2"/>
      </rPr>
      <t>²</t>
    </r>
  </si>
  <si>
    <r>
      <t>m</t>
    </r>
    <r>
      <rPr>
        <sz val="11"/>
        <color theme="1"/>
        <rFont val="Calibri"/>
        <family val="2"/>
      </rPr>
      <t>³</t>
    </r>
  </si>
  <si>
    <t>EXCAVACION EN SUELO SEMIDURO H=1.5M</t>
  </si>
  <si>
    <t>ZAPATA  H° A°</t>
  </si>
  <si>
    <t>CIMIENTO DE HORMIGON CICLOPEO (50%PD)</t>
  </si>
  <si>
    <t>SOBRECIMIENTO DE HORMIGON CICLOPEO (50%PD)</t>
  </si>
  <si>
    <t>IMPERMEABILIZACION SOBRECIMIENTO C/CARTON ASFALTICO</t>
  </si>
  <si>
    <t>m</t>
  </si>
  <si>
    <t>MURO DE 6 HUECOS DE 20cm</t>
  </si>
  <si>
    <t xml:space="preserve">MURO DE 6 HUECOS DE 15 cm  </t>
  </si>
  <si>
    <t xml:space="preserve">MURO de 6 HUECOS DE 10 cm </t>
  </si>
  <si>
    <t>OF 01</t>
  </si>
  <si>
    <t>OF 02</t>
  </si>
  <si>
    <t>OF 03</t>
  </si>
  <si>
    <t>OF 04</t>
  </si>
  <si>
    <t>OF 05</t>
  </si>
  <si>
    <t>OF 06</t>
  </si>
  <si>
    <t>OF 07</t>
  </si>
  <si>
    <t>OF 08</t>
  </si>
  <si>
    <t>OF 09</t>
  </si>
  <si>
    <t>OF 10</t>
  </si>
  <si>
    <t>pza</t>
  </si>
  <si>
    <t>OF 11</t>
  </si>
  <si>
    <t>OF 13</t>
  </si>
  <si>
    <t>OF 14</t>
  </si>
  <si>
    <t>OF 15</t>
  </si>
  <si>
    <t>OF 12</t>
  </si>
  <si>
    <t>pto</t>
  </si>
  <si>
    <t>PRECIO UNITARIO [Bs.]</t>
  </si>
  <si>
    <t xml:space="preserve">PARCIAL   
  [Bs.] </t>
  </si>
  <si>
    <t>MODULO II: OBRA GRUESA</t>
  </si>
  <si>
    <r>
      <t>LOSA ALIVIANADA H</t>
    </r>
    <r>
      <rPr>
        <sz val="9"/>
        <color theme="1"/>
        <rFont val="Calibri"/>
        <family val="2"/>
      </rPr>
      <t>°A°</t>
    </r>
  </si>
  <si>
    <r>
      <t>DINTEL H</t>
    </r>
    <r>
      <rPr>
        <sz val="9"/>
        <color theme="1"/>
        <rFont val="Calibri"/>
        <family val="2"/>
      </rPr>
      <t>° A°</t>
    </r>
  </si>
  <si>
    <t>MODULO III: OBRA FINA</t>
  </si>
  <si>
    <r>
      <t>BOTAGUAS DE H</t>
    </r>
    <r>
      <rPr>
        <sz val="9"/>
        <color theme="1"/>
        <rFont val="Calibri"/>
        <family val="2"/>
      </rPr>
      <t>° A°</t>
    </r>
  </si>
  <si>
    <r>
      <t>EMPEDRADO Y CONTRAPISO DE H</t>
    </r>
    <r>
      <rPr>
        <sz val="9"/>
        <color theme="1"/>
        <rFont val="Calibri"/>
        <family val="2"/>
      </rPr>
      <t>°</t>
    </r>
  </si>
  <si>
    <t xml:space="preserve">CONTRAPISO DE CEMENTO S/LOSA </t>
  </si>
  <si>
    <t xml:space="preserve">PISO DE CERAMICA NACIONAL </t>
  </si>
  <si>
    <t xml:space="preserve">PISO FLOTANTE </t>
  </si>
  <si>
    <t>REVESTIMIENTO CERAMICA</t>
  </si>
  <si>
    <t xml:space="preserve">REVOQUE CIELO RASO </t>
  </si>
  <si>
    <t>REVOQUE CIELO RASO S/LOSA</t>
  </si>
  <si>
    <t>REVOQUE EXTERIOR DE CEMENTO</t>
  </si>
  <si>
    <t>REVOQUE INTERIOR DE YESO</t>
  </si>
  <si>
    <t xml:space="preserve">PUERTA INTERIOR DE MADERA </t>
  </si>
  <si>
    <t xml:space="preserve">PUERTA EXTERIOR DE MADERA </t>
  </si>
  <si>
    <t xml:space="preserve">VENTANA DE ALUMINIO </t>
  </si>
  <si>
    <t xml:space="preserve">ZOCALO DE CERAMICA </t>
  </si>
  <si>
    <t xml:space="preserve">ZOCALO DE MADERA </t>
  </si>
  <si>
    <t>MODULO IV: OBRA INSTALACIONES HIDROSANITARIAS</t>
  </si>
  <si>
    <t>IHS 01</t>
  </si>
  <si>
    <t>IHS 02</t>
  </si>
  <si>
    <t>IHS 03</t>
  </si>
  <si>
    <t>IHS 04</t>
  </si>
  <si>
    <t>IHS 06</t>
  </si>
  <si>
    <t>IHS 07</t>
  </si>
  <si>
    <t>IHS 08</t>
  </si>
  <si>
    <t>IHS 09</t>
  </si>
  <si>
    <t>IHS 10</t>
  </si>
  <si>
    <t>IHS 11</t>
  </si>
  <si>
    <t>IHS 12</t>
  </si>
  <si>
    <t>IHS 13</t>
  </si>
  <si>
    <t xml:space="preserve">BAJANTE DE CALAMINA </t>
  </si>
  <si>
    <t xml:space="preserve">CANALETA DE CALAMINA </t>
  </si>
  <si>
    <t>TUBO DE DESAGUE PVC 4"</t>
  </si>
  <si>
    <t>TUBO DE DESAGUE PVC 2"</t>
  </si>
  <si>
    <t>CAMARA DE INSPECCION 60 x 60</t>
  </si>
  <si>
    <t>CAMARA DE REGISTRO 40 x 40</t>
  </si>
  <si>
    <t>CAÑERIA GALVANIZADA 1/2"</t>
  </si>
  <si>
    <t>LLAVE DE PASO 1/2"</t>
  </si>
  <si>
    <t xml:space="preserve">INSTALACION DE INODORO TANQUE BAJO </t>
  </si>
  <si>
    <t xml:space="preserve">INSTALACION DE DUCHA </t>
  </si>
  <si>
    <t xml:space="preserve">INSTALACION LAVAPLATOS </t>
  </si>
  <si>
    <t xml:space="preserve">INSTALACION LAVAMANOS </t>
  </si>
  <si>
    <t>MODULO V: OBRA INSTALACIONES ELECTRICAS</t>
  </si>
  <si>
    <t>IE 1</t>
  </si>
  <si>
    <t>IE 2</t>
  </si>
  <si>
    <t>IE 3</t>
  </si>
  <si>
    <t>IE 4</t>
  </si>
  <si>
    <t>IE 5</t>
  </si>
  <si>
    <t xml:space="preserve">ILUMINACION INCANDESCENTE </t>
  </si>
  <si>
    <t xml:space="preserve">ILUMINACION FLUORESCENTE </t>
  </si>
  <si>
    <t>TOMACORRIENTE  DOBLE</t>
  </si>
  <si>
    <t>INSTALACION PUNTO TV</t>
  </si>
  <si>
    <t xml:space="preserve">INSTALACION TIMBRE </t>
  </si>
  <si>
    <t xml:space="preserve">MODULO VI: TRABAJOS DE ACABADOS </t>
  </si>
  <si>
    <t>TA 8</t>
  </si>
  <si>
    <t>TA 1</t>
  </si>
  <si>
    <t xml:space="preserve">PINTURA INTERIOR LATEX </t>
  </si>
  <si>
    <t xml:space="preserve">PINTURA EXTERIOR LATEX </t>
  </si>
  <si>
    <t>TA 9</t>
  </si>
  <si>
    <t>TA 10</t>
  </si>
  <si>
    <t>PINTURA ANTICORROSIVA P/CUBIERTA</t>
  </si>
  <si>
    <t>OG 14</t>
  </si>
  <si>
    <t xml:space="preserve">CUBIERTA DE CALAMINA ONDULADA </t>
  </si>
  <si>
    <t xml:space="preserve">MODULO I: OBRAS PRELIMINARES </t>
  </si>
  <si>
    <t>OP 01</t>
  </si>
  <si>
    <t>OP 02</t>
  </si>
  <si>
    <t>OG 01</t>
  </si>
  <si>
    <t>OG 02</t>
  </si>
  <si>
    <t>OG 03</t>
  </si>
  <si>
    <t>OG 04</t>
  </si>
  <si>
    <t>OG 05</t>
  </si>
  <si>
    <t>OG 06</t>
  </si>
  <si>
    <t>OG 07</t>
  </si>
  <si>
    <t>OG 08</t>
  </si>
  <si>
    <t>OG 09</t>
  </si>
  <si>
    <t>6(B-E)</t>
  </si>
  <si>
    <t>1(A-E)</t>
  </si>
  <si>
    <t>P1</t>
  </si>
  <si>
    <t>P2</t>
  </si>
  <si>
    <t>P3</t>
  </si>
  <si>
    <t xml:space="preserve">Planta alta </t>
  </si>
  <si>
    <t xml:space="preserve">Planta Baja </t>
  </si>
  <si>
    <t>4(A-B)</t>
  </si>
  <si>
    <t>A,E(1-4)</t>
  </si>
  <si>
    <t>B,E(4-6)</t>
  </si>
  <si>
    <t>V1</t>
  </si>
  <si>
    <t>V2</t>
  </si>
  <si>
    <t>V3</t>
  </si>
  <si>
    <t xml:space="preserve">Planta Alta </t>
  </si>
  <si>
    <t>(A-B)(1-2)</t>
  </si>
  <si>
    <t>(A-B)(2-3)</t>
  </si>
  <si>
    <t xml:space="preserve">Dormitorio </t>
  </si>
  <si>
    <t>Planta Baja</t>
  </si>
  <si>
    <t xml:space="preserve">Estudio </t>
  </si>
  <si>
    <t>baño</t>
  </si>
  <si>
    <t>hall</t>
  </si>
  <si>
    <t>Baño</t>
  </si>
  <si>
    <t>C1</t>
  </si>
  <si>
    <t>C2</t>
  </si>
  <si>
    <t>Planta Alta</t>
  </si>
  <si>
    <t>Dormitorio 2</t>
  </si>
  <si>
    <t>Living</t>
  </si>
  <si>
    <t>Comedor</t>
  </si>
  <si>
    <t xml:space="preserve">Cocina </t>
  </si>
  <si>
    <r>
      <rPr>
        <b/>
        <sz val="12"/>
        <color theme="1"/>
        <rFont val="Calibri"/>
        <family val="2"/>
        <scheme val="minor"/>
      </rPr>
      <t>Ubicacion: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La Paz</t>
    </r>
  </si>
  <si>
    <t>PROYECTO:</t>
  </si>
  <si>
    <t>Cocina</t>
  </si>
  <si>
    <t xml:space="preserve">Dormitorio I </t>
  </si>
  <si>
    <t>Dormitorio II</t>
  </si>
  <si>
    <t xml:space="preserve">Comedor </t>
  </si>
  <si>
    <t>Hall</t>
  </si>
  <si>
    <t xml:space="preserve">Living </t>
  </si>
  <si>
    <t xml:space="preserve">escaleras </t>
  </si>
  <si>
    <t xml:space="preserve">entrada principal </t>
  </si>
  <si>
    <t>1,3(A-B)</t>
  </si>
  <si>
    <t>CR1</t>
  </si>
  <si>
    <t>CI 1,CI 2,CI3</t>
  </si>
  <si>
    <t>CI 2, CI 3</t>
  </si>
  <si>
    <t>CI 1, CI 2</t>
  </si>
  <si>
    <t>CR1, CI1</t>
  </si>
  <si>
    <t>inodoro, CI 3</t>
  </si>
  <si>
    <t xml:space="preserve">Baño planta baja </t>
  </si>
  <si>
    <t>bajante, CI 3</t>
  </si>
  <si>
    <t xml:space="preserve">Baño planta Alta </t>
  </si>
  <si>
    <t xml:space="preserve">inodoro, bajante </t>
  </si>
  <si>
    <t xml:space="preserve">Baño Planta Baja </t>
  </si>
  <si>
    <t>lavamanos, CaI</t>
  </si>
  <si>
    <t xml:space="preserve">Rp, CaI </t>
  </si>
  <si>
    <t xml:space="preserve">Ducha, CaI </t>
  </si>
  <si>
    <t>CaI, Tuberia 4"</t>
  </si>
  <si>
    <t xml:space="preserve">Cocina Planta Baja </t>
  </si>
  <si>
    <t xml:space="preserve">Lavaplatos, CaI </t>
  </si>
  <si>
    <t>CaI,CR 1</t>
  </si>
  <si>
    <t xml:space="preserve">Baño Planta Alta </t>
  </si>
  <si>
    <t>Cocina Planta Alta</t>
  </si>
  <si>
    <t>lavamanos,Rp</t>
  </si>
  <si>
    <t xml:space="preserve">CaI,bajante </t>
  </si>
  <si>
    <t xml:space="preserve">planta Baja </t>
  </si>
  <si>
    <t xml:space="preserve">planta Alta </t>
  </si>
  <si>
    <t xml:space="preserve">total </t>
  </si>
  <si>
    <t xml:space="preserve">PINTURA INTERIOR AL OLEO </t>
  </si>
  <si>
    <t xml:space="preserve">Planta Alta  </t>
  </si>
  <si>
    <t xml:space="preserve">zapatas </t>
  </si>
  <si>
    <t>todas</t>
  </si>
  <si>
    <t xml:space="preserve">cimientos </t>
  </si>
  <si>
    <t>(1-4)(A-E)</t>
  </si>
  <si>
    <t>(4-6)(B-E)</t>
  </si>
  <si>
    <t>TODAS</t>
  </si>
  <si>
    <t>1,4(A-E)</t>
  </si>
  <si>
    <t>2,5(C-D)</t>
  </si>
  <si>
    <t>3(A-C)</t>
  </si>
  <si>
    <t>A,C,E(1-4)</t>
  </si>
  <si>
    <t>D(1-3)</t>
  </si>
  <si>
    <t>B,C,D,E(4-6)</t>
  </si>
  <si>
    <t xml:space="preserve">AREA DE ZAPATA </t>
  </si>
  <si>
    <t xml:space="preserve">COLUMNAS </t>
  </si>
  <si>
    <t xml:space="preserve">TODAS </t>
  </si>
  <si>
    <t>3,4(A-C)</t>
  </si>
  <si>
    <t xml:space="preserve">4(D-E) </t>
  </si>
  <si>
    <t>D(1-2)</t>
  </si>
  <si>
    <t>PUERTAS</t>
  </si>
  <si>
    <t xml:space="preserve">P3 </t>
  </si>
  <si>
    <t xml:space="preserve">PLANTA BAJA </t>
  </si>
  <si>
    <t xml:space="preserve">PLANTA ALTA </t>
  </si>
  <si>
    <t xml:space="preserve">VENTANAS </t>
  </si>
  <si>
    <t>4(B-C)(D-E)</t>
  </si>
  <si>
    <t>C(1-6)</t>
  </si>
  <si>
    <t>D(4-6)</t>
  </si>
  <si>
    <t xml:space="preserve">PLANTA ALTA  </t>
  </si>
  <si>
    <t>1,2,3(A-E)</t>
  </si>
  <si>
    <t>4(B-E)</t>
  </si>
  <si>
    <t>A,B,C,D,E(1-3)</t>
  </si>
  <si>
    <t>B,C,D,E(3-4)</t>
  </si>
  <si>
    <t xml:space="preserve">PLANTA  ALTA </t>
  </si>
  <si>
    <t>L1</t>
  </si>
  <si>
    <t>L2</t>
  </si>
  <si>
    <t>(1-2)(A-D)</t>
  </si>
  <si>
    <t>(2-3)(B-C)</t>
  </si>
  <si>
    <t>PELDAÑOS</t>
  </si>
  <si>
    <t>DESCANSO</t>
  </si>
  <si>
    <t>(1-2)(A-B)</t>
  </si>
  <si>
    <t>(2-3)(A-B)</t>
  </si>
  <si>
    <t>DORMITORIO I</t>
  </si>
  <si>
    <t>DORMITORIO II</t>
  </si>
  <si>
    <t xml:space="preserve">ESTUDIO </t>
  </si>
  <si>
    <t>BAÑO</t>
  </si>
  <si>
    <t>HALL</t>
  </si>
  <si>
    <t>COCINA</t>
  </si>
  <si>
    <t>LIVING</t>
  </si>
  <si>
    <t xml:space="preserve">COMEDOR </t>
  </si>
  <si>
    <t>Total</t>
  </si>
  <si>
    <t xml:space="preserve">ANALISIS DE PRECIOS UNITARIOS </t>
  </si>
  <si>
    <t xml:space="preserve">PROYECTO </t>
  </si>
  <si>
    <t>CODIGO</t>
  </si>
  <si>
    <t>UNIDAD</t>
  </si>
  <si>
    <t>FECHA</t>
  </si>
  <si>
    <t>TOTAL U$D</t>
  </si>
  <si>
    <t xml:space="preserve">Computo de Obra </t>
  </si>
  <si>
    <t xml:space="preserve">MATERIALES </t>
  </si>
  <si>
    <t>COD</t>
  </si>
  <si>
    <t xml:space="preserve">DESCRIPCION </t>
  </si>
  <si>
    <t>UNID</t>
  </si>
  <si>
    <t>PRECIO PRODUCTIVO</t>
  </si>
  <si>
    <t xml:space="preserve">TOTAL </t>
  </si>
  <si>
    <t xml:space="preserve">TOTAL MATERIALES </t>
  </si>
  <si>
    <t xml:space="preserve">MANO DE OBRA </t>
  </si>
  <si>
    <t xml:space="preserve">SUB TOTAL MANO DE OBRA </t>
  </si>
  <si>
    <t xml:space="preserve">CARGAS SOCIALES </t>
  </si>
  <si>
    <t>%</t>
  </si>
  <si>
    <t xml:space="preserve">IMPUESTOS  IVA </t>
  </si>
  <si>
    <t xml:space="preserve">TOTAL DE MANO DE OBRA </t>
  </si>
  <si>
    <t xml:space="preserve">EQUIPO, MAQUINARIA Y HERRAMIENTA </t>
  </si>
  <si>
    <t xml:space="preserve">HERRAMIENTAS MENORES TOTAL MANO DE OBRA </t>
  </si>
  <si>
    <t xml:space="preserve">TOTAL EQUIPO, MAQUINARIA Y HERRAMIENTAS </t>
  </si>
  <si>
    <t xml:space="preserve">GASTOS GENERALES Y ADMINISTRATIVOS </t>
  </si>
  <si>
    <t>UTILIDAD</t>
  </si>
  <si>
    <t xml:space="preserve">PRECIO UNITARIO TOTAL </t>
  </si>
  <si>
    <t>IMPUESTOS  IT</t>
  </si>
  <si>
    <t>1+2+3</t>
  </si>
  <si>
    <t>1+2+3+4</t>
  </si>
  <si>
    <t>1+2+3+4+5</t>
  </si>
  <si>
    <t>1+2+3+4+5+6</t>
  </si>
  <si>
    <t xml:space="preserve">INSUMO MATERIALES </t>
  </si>
  <si>
    <t xml:space="preserve">GRUPO </t>
  </si>
  <si>
    <t xml:space="preserve">PRECIO UNITARIO </t>
  </si>
  <si>
    <t>PROVEEDORES</t>
  </si>
  <si>
    <t xml:space="preserve">Barraca San Pedro </t>
  </si>
  <si>
    <t>Ferreteria Lucas</t>
  </si>
  <si>
    <t xml:space="preserve">Señora Camila </t>
  </si>
  <si>
    <t>Emisa</t>
  </si>
  <si>
    <t xml:space="preserve">Ferreteria Obrajes </t>
  </si>
  <si>
    <t>Volqueta Demetrio</t>
  </si>
  <si>
    <t xml:space="preserve">Volqueta Primo </t>
  </si>
  <si>
    <t xml:space="preserve">Barraca Roma </t>
  </si>
  <si>
    <t xml:space="preserve">Distribuidora Monopol </t>
  </si>
  <si>
    <t xml:space="preserve">DIRECCION </t>
  </si>
  <si>
    <t xml:space="preserve">TELEFONO </t>
  </si>
  <si>
    <t xml:space="preserve">CORREO </t>
  </si>
  <si>
    <t xml:space="preserve">OBRAJES </t>
  </si>
  <si>
    <t xml:space="preserve">SOPOCACHI </t>
  </si>
  <si>
    <t xml:space="preserve">ACHUMANI </t>
  </si>
  <si>
    <t xml:space="preserve">CENTRO </t>
  </si>
  <si>
    <t xml:space="preserve">llojeta </t>
  </si>
  <si>
    <t xml:space="preserve">SUD </t>
  </si>
  <si>
    <t>barraca@gmail.com</t>
  </si>
  <si>
    <t>emisa@hotmail.com</t>
  </si>
  <si>
    <t>Etiquetas de columna</t>
  </si>
  <si>
    <t>Etiquetas de fila</t>
  </si>
  <si>
    <t>Total general</t>
  </si>
  <si>
    <t>m²</t>
  </si>
  <si>
    <t xml:space="preserve"> PROVEEDORES</t>
  </si>
  <si>
    <t>m³</t>
  </si>
  <si>
    <t xml:space="preserve">Ferreterias San Juan </t>
  </si>
  <si>
    <t>La Paz</t>
  </si>
  <si>
    <t xml:space="preserve">Barraca Aranjuez </t>
  </si>
  <si>
    <t>Mallasa</t>
  </si>
  <si>
    <t>cod</t>
  </si>
  <si>
    <t>Suma de PRECIO UNITARIO</t>
  </si>
  <si>
    <t>Barraca Roma</t>
  </si>
  <si>
    <t>Barraca San Pedro</t>
  </si>
  <si>
    <t>Distribuidora Monopol</t>
  </si>
  <si>
    <t>Ferreteria Obrajes</t>
  </si>
  <si>
    <t>Volqueta Primo</t>
  </si>
  <si>
    <t xml:space="preserve">FECHA </t>
  </si>
  <si>
    <t xml:space="preserve">UNID </t>
  </si>
  <si>
    <t xml:space="preserve">JORNAL LA PAZ  </t>
  </si>
  <si>
    <t xml:space="preserve">JORNAL ORURO </t>
  </si>
  <si>
    <t>ACCESORIOS 5/8"</t>
  </si>
  <si>
    <t>juego</t>
  </si>
  <si>
    <t xml:space="preserve">ACCESORIOS ELECTRICO </t>
  </si>
  <si>
    <t>ACCESORIOS F.G. D=1/2" IND. ARGEN.</t>
  </si>
  <si>
    <t>ACCESORIOS</t>
  </si>
  <si>
    <t>ACCESORIOS PARA AUDIO</t>
  </si>
  <si>
    <t>ACCESORIOS PARA INSTALACION SANITARIA</t>
  </si>
  <si>
    <t>glb</t>
  </si>
  <si>
    <t xml:space="preserve">ACCESORIOS SANITARIOS </t>
  </si>
  <si>
    <t>ACCESORIOS PVC 2" ESQ 40</t>
  </si>
  <si>
    <t>ACCESORIOS PVC</t>
  </si>
  <si>
    <t>AGUARRAS</t>
  </si>
  <si>
    <t>lt</t>
  </si>
  <si>
    <t>ALAMBRE DE AMARRE</t>
  </si>
  <si>
    <t>kg</t>
  </si>
  <si>
    <t>ALAMBRE</t>
  </si>
  <si>
    <t>ALAMBRE TEJIDO</t>
  </si>
  <si>
    <t>ALQUITRAN</t>
  </si>
  <si>
    <t>ARENA COMUN</t>
  </si>
  <si>
    <t xml:space="preserve">AGREGADOS </t>
  </si>
  <si>
    <t>ARENA FINA</t>
  </si>
  <si>
    <t>BISAGRA DE 4"</t>
  </si>
  <si>
    <t>QUINCALLERIA</t>
  </si>
  <si>
    <t>CABLE AISLADO MONOPOLAR # 10</t>
  </si>
  <si>
    <t>INSTALACION ELECTRICA</t>
  </si>
  <si>
    <t>CABLE AWG N14</t>
  </si>
  <si>
    <t>CABLE CU PARA TELEFONO 2X22</t>
  </si>
  <si>
    <t>CABLE DE CU AWG 20 TW</t>
  </si>
  <si>
    <t>CAJA PLASTICA CIRCULAR</t>
  </si>
  <si>
    <t>CAJA PLASTICA RECTANGULAR</t>
  </si>
  <si>
    <t>CAJA PLASTICA</t>
  </si>
  <si>
    <t>CAL</t>
  </si>
  <si>
    <t>CALAMINA ONDULADA # 28</t>
  </si>
  <si>
    <t>CALAMINA</t>
  </si>
  <si>
    <t>CALAMINA PLANA # 26</t>
  </si>
  <si>
    <t>CALAMINA PLANA # 28</t>
  </si>
  <si>
    <t>CARTON ASFALTICO</t>
  </si>
  <si>
    <t>CEMENTO BLANCO IMPORTADO</t>
  </si>
  <si>
    <t>CEMENTO</t>
  </si>
  <si>
    <t>CEMENTO BLANCO</t>
  </si>
  <si>
    <t>CEMENTO COLA</t>
  </si>
  <si>
    <t>CEMENTO PORTLAND VIACHA</t>
  </si>
  <si>
    <t>CEMENTO PORTLAND</t>
  </si>
  <si>
    <t>CERAMICA ESMALTADA NAL. 20*30</t>
  </si>
  <si>
    <t>CERAMICA</t>
  </si>
  <si>
    <t>CHICOTILLO METALICO (45 CM.)</t>
  </si>
  <si>
    <t>CHICOTILLO</t>
  </si>
  <si>
    <t>CINTA AISLANTE</t>
  </si>
  <si>
    <t>rollo</t>
  </si>
  <si>
    <t>CINTA</t>
  </si>
  <si>
    <t>CLAVOS PARA CALAMINA</t>
  </si>
  <si>
    <t>CLAVOS</t>
  </si>
  <si>
    <t>COLA FRESCA</t>
  </si>
  <si>
    <t>COLA</t>
  </si>
  <si>
    <t>ESTUCO BEDOYA</t>
  </si>
  <si>
    <t>ESTUCO</t>
  </si>
  <si>
    <t>ESTUCO PACEÑO</t>
  </si>
  <si>
    <t>ESTUCO PANDO</t>
  </si>
  <si>
    <t>FIERRO CORRUGADO</t>
  </si>
  <si>
    <t>FIERRO</t>
  </si>
  <si>
    <t>FOCO DE 100 WT.</t>
  </si>
  <si>
    <t>FOCO</t>
  </si>
  <si>
    <t>GRAVA COMUN</t>
  </si>
  <si>
    <t>GRAVA</t>
  </si>
  <si>
    <t>GRIFERIA PARA LAVANDERIA</t>
  </si>
  <si>
    <t>GRIFERIA</t>
  </si>
  <si>
    <t>INODORO BLANCO TANQUE BAJO C/ACC.</t>
  </si>
  <si>
    <t>INODORO</t>
  </si>
  <si>
    <t>KEROSENE</t>
  </si>
  <si>
    <t>l</t>
  </si>
  <si>
    <t>LADRILLO 6 HUECOS (24*15*11)</t>
  </si>
  <si>
    <t>LADRILLO</t>
  </si>
  <si>
    <t>LADRILLO DE 6 H. (24*18*12)</t>
  </si>
  <si>
    <t>LADRILLO GAMBOTE (24*11*6)</t>
  </si>
  <si>
    <t>LAVAMANOS +ACCESORIOS+GRIFERIA COLOR BLANCO</t>
  </si>
  <si>
    <t>LAVAMANOS</t>
  </si>
  <si>
    <t>LAVAPLATOS 2 DEPOSITOS - 1 FREGADERO</t>
  </si>
  <si>
    <t>LAVAPLATOS</t>
  </si>
  <si>
    <t>LIJA P/PARED</t>
  </si>
  <si>
    <t>hoja</t>
  </si>
  <si>
    <t>LIJA</t>
  </si>
  <si>
    <t>LIJA PARED</t>
  </si>
  <si>
    <t>Hoja</t>
  </si>
  <si>
    <t>LIMPIADOR PVC</t>
  </si>
  <si>
    <t>grm</t>
  </si>
  <si>
    <t>LIMPIADOR</t>
  </si>
  <si>
    <t>LISTONES (2*2)</t>
  </si>
  <si>
    <t>pie²</t>
  </si>
  <si>
    <t>LISTONES</t>
  </si>
  <si>
    <t>LLAVE DE PASO DE ½"</t>
  </si>
  <si>
    <t>LLAVE</t>
  </si>
  <si>
    <t>LUNIMARIA FLUORESCENTE 1*20W</t>
  </si>
  <si>
    <t>LUNIMARIA</t>
  </si>
  <si>
    <t>MADERA DE ENCOFRADO DURA</t>
  </si>
  <si>
    <t>MADERA</t>
  </si>
  <si>
    <t>MADERA DE ENCOFRADO</t>
  </si>
  <si>
    <t>MEZCLADORA P/DUCHA</t>
  </si>
  <si>
    <t>MEZCLADORA</t>
  </si>
  <si>
    <t>PAJA</t>
  </si>
  <si>
    <t>PARKET TAJIBO</t>
  </si>
  <si>
    <t>PARKET</t>
  </si>
  <si>
    <t>PARKETEX P/PARKET</t>
  </si>
  <si>
    <t>galón</t>
  </si>
  <si>
    <t>PARKETEX</t>
  </si>
  <si>
    <t>PEGAMENTO DE PVC</t>
  </si>
  <si>
    <t>LT</t>
  </si>
  <si>
    <t>PEGAMENTO</t>
  </si>
  <si>
    <t>PEGAMENTO PARA PVC</t>
  </si>
  <si>
    <t>PERFIL DE ALUMINIO</t>
  </si>
  <si>
    <t>PERFIL</t>
  </si>
  <si>
    <t>PICAPORTE PICO DE LORO</t>
  </si>
  <si>
    <t>PICAPORTE</t>
  </si>
  <si>
    <t>PIEDRA MANZANA</t>
  </si>
  <si>
    <t>PIEDRA</t>
  </si>
  <si>
    <t>PIEDRA PARA CIMIENTOS</t>
  </si>
  <si>
    <t>PINTURA AL ACEITE MATE MONOPOL</t>
  </si>
  <si>
    <t>PINTURA</t>
  </si>
  <si>
    <t>PINTURA ANTICORROSIVA</t>
  </si>
  <si>
    <t>PINTURA LATEX EXTERIOR</t>
  </si>
  <si>
    <t>PINTURA LATEX INT.</t>
  </si>
  <si>
    <t>PLACA TELEFONO</t>
  </si>
  <si>
    <t>PLACA</t>
  </si>
  <si>
    <t>PLATINO DE 3/4 X 1/8</t>
  </si>
  <si>
    <t>PLATINO</t>
  </si>
  <si>
    <t>PUERTA DE MADERA ROBLE</t>
  </si>
  <si>
    <t>PUERTA</t>
  </si>
  <si>
    <t>PUERTA MADERA</t>
  </si>
  <si>
    <t>SELLADOR P/PARED</t>
  </si>
  <si>
    <t>SELLADOR</t>
  </si>
  <si>
    <t>SELLADOR PARA PARED</t>
  </si>
  <si>
    <t>SILICONA</t>
  </si>
  <si>
    <t>pomo</t>
  </si>
  <si>
    <t>SOLDADURA P/CALAMINA</t>
  </si>
  <si>
    <t>SOLDADURA</t>
  </si>
  <si>
    <t>SOQUETE  METALICO CON ALMA DE PORCELANA</t>
  </si>
  <si>
    <t>SOQUETE</t>
  </si>
  <si>
    <t>TACOS PLASTICOS</t>
  </si>
  <si>
    <t>TACOS</t>
  </si>
  <si>
    <t>TEFLON</t>
  </si>
  <si>
    <t>roll</t>
  </si>
  <si>
    <t>TIMBRE ELECTRICO</t>
  </si>
  <si>
    <t>TIMBRE</t>
  </si>
  <si>
    <t>TORNILLA DE ENCARNE DE 2</t>
  </si>
  <si>
    <t>TORNILLA</t>
  </si>
  <si>
    <t>TORNILLO PARA MADERA</t>
  </si>
  <si>
    <t>TORNILLO</t>
  </si>
  <si>
    <t>TUBERIA DE PVC 2" ESQ 40</t>
  </si>
  <si>
    <t>TUBERIA</t>
  </si>
  <si>
    <t>TUBERIA F.G. D=½"</t>
  </si>
  <si>
    <t>TUBO BERGMAN</t>
  </si>
  <si>
    <t>TUBO</t>
  </si>
  <si>
    <t>TUBO BERMAN DE 3/4"</t>
  </si>
  <si>
    <t>TUBO CONDUIT PVC 5/8</t>
  </si>
  <si>
    <t>TUBO CONDUIT PVC 5/8"</t>
  </si>
  <si>
    <t>TUVERIA DE PVC DE 4 E=40</t>
  </si>
  <si>
    <t>TUVERIA</t>
  </si>
  <si>
    <t>VARIOS INST. DE FAENAS (NACIONALES)</t>
  </si>
  <si>
    <t>VARIOS</t>
  </si>
  <si>
    <t>VIDRIO DE 4MM.</t>
  </si>
  <si>
    <t>VIDRIO</t>
  </si>
  <si>
    <t>VIGUETAS Y PLASTOFOR</t>
  </si>
  <si>
    <t>VIGUETAS</t>
  </si>
  <si>
    <t>ZOCALO MARA DE 3"</t>
  </si>
  <si>
    <t>ZOCALO</t>
  </si>
  <si>
    <t>ALBAÑIL</t>
  </si>
  <si>
    <t>hr</t>
  </si>
  <si>
    <t>ARMADOR</t>
  </si>
  <si>
    <t>AYUDANTE  PLOMERO</t>
  </si>
  <si>
    <t>AYUDANTE</t>
  </si>
  <si>
    <t>CARPINTERO</t>
  </si>
  <si>
    <t>CONTRA MESTRO</t>
  </si>
  <si>
    <t>ELECTRICISTA</t>
  </si>
  <si>
    <t>ENCOFRADOR</t>
  </si>
  <si>
    <t>ENFERRADOR</t>
  </si>
  <si>
    <t>ESPECIALISTA CALIFICADO</t>
  </si>
  <si>
    <t>ESPECIALISTA PLOMERO</t>
  </si>
  <si>
    <t>ESPECIALISTA</t>
  </si>
  <si>
    <t>MAESTRO ALBAÑIL</t>
  </si>
  <si>
    <t>PEON</t>
  </si>
  <si>
    <t>PINTOR</t>
  </si>
  <si>
    <t>PLOMERO</t>
  </si>
  <si>
    <t xml:space="preserve">EQUIPO TOPOGRAFICO </t>
  </si>
  <si>
    <t>hrs</t>
  </si>
  <si>
    <t xml:space="preserve">RETROEXCAVADORA </t>
  </si>
  <si>
    <t xml:space="preserve">MEZCLADORA </t>
  </si>
  <si>
    <t xml:space="preserve">VIBRADORA </t>
  </si>
  <si>
    <t>FERIADOS</t>
  </si>
  <si>
    <t>Año Nuevo</t>
  </si>
  <si>
    <t>Dia del estado Plurinacional</t>
  </si>
  <si>
    <t>Carnaval</t>
  </si>
  <si>
    <t>Viernes Santo</t>
  </si>
  <si>
    <t>Dia del trabajado</t>
  </si>
  <si>
    <t>Corpus christi</t>
  </si>
  <si>
    <t>Año Nuevo Aymara</t>
  </si>
  <si>
    <t>Dia de la Independencia de Bolivia</t>
  </si>
  <si>
    <t>Dia de todos los Santos</t>
  </si>
  <si>
    <t>Dia del departamento de Potosi</t>
  </si>
  <si>
    <t>Navidad</t>
  </si>
  <si>
    <t>DURACION
 DIAS</t>
  </si>
  <si>
    <t xml:space="preserve">FECHA
 INICIO </t>
  </si>
  <si>
    <t xml:space="preserve">FECHA
 FINAL </t>
  </si>
  <si>
    <t>LOSA ALIVIANADA H°A°</t>
  </si>
  <si>
    <t>DINTEL H° A°</t>
  </si>
  <si>
    <t>BOTAGUAS DE H° A°</t>
  </si>
  <si>
    <t>EMPEDRADO Y CONTRAPISO DE H°</t>
  </si>
  <si>
    <t>Fecha inicio</t>
  </si>
  <si>
    <t xml:space="preserve">fecha final </t>
  </si>
  <si>
    <t>(en blanco)</t>
  </si>
  <si>
    <t xml:space="preserve">Suma de PRECIO UNITARIO </t>
  </si>
  <si>
    <t>Señora Camila</t>
  </si>
  <si>
    <t>OBRAJES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</si>
</sst>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580A]d/m/yyyy;@"/>
    <numFmt numFmtId="165" formatCode="[$-409]d\-mmm\-yy;@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 Black"/>
      <family val="2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70C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227">
    <xf numFmtId="0" fontId="0" fillId="0" borderId="0" xfId="0"/>
    <xf numFmtId="0" fontId="8" fillId="0" borderId="0" xfId="0" applyFont="1"/>
    <xf numFmtId="4" fontId="8" fillId="0" borderId="1" xfId="0" applyNumberFormat="1" applyFont="1" applyBorder="1"/>
    <xf numFmtId="4" fontId="8" fillId="0" borderId="8" xfId="0" applyNumberFormat="1" applyFont="1" applyBorder="1"/>
    <xf numFmtId="4" fontId="8" fillId="0" borderId="20" xfId="0" applyNumberFormat="1" applyFont="1" applyBorder="1"/>
    <xf numFmtId="4" fontId="8" fillId="0" borderId="7" xfId="0" applyNumberFormat="1" applyFont="1" applyBorder="1"/>
    <xf numFmtId="4" fontId="8" fillId="2" borderId="33" xfId="0" applyNumberFormat="1" applyFont="1" applyFill="1" applyBorder="1"/>
    <xf numFmtId="4" fontId="8" fillId="5" borderId="15" xfId="0" applyNumberFormat="1" applyFont="1" applyFill="1" applyBorder="1"/>
    <xf numFmtId="4" fontId="8" fillId="5" borderId="8" xfId="0" applyNumberFormat="1" applyFont="1" applyFill="1" applyBorder="1"/>
    <xf numFmtId="4" fontId="8" fillId="0" borderId="41" xfId="0" applyNumberFormat="1" applyFont="1" applyBorder="1"/>
    <xf numFmtId="4" fontId="8" fillId="5" borderId="45" xfId="0" applyNumberFormat="1" applyFont="1" applyFill="1" applyBorder="1"/>
    <xf numFmtId="4" fontId="8" fillId="0" borderId="13" xfId="0" applyNumberFormat="1" applyFont="1" applyBorder="1"/>
    <xf numFmtId="4" fontId="8" fillId="5" borderId="56" xfId="0" applyNumberFormat="1" applyFont="1" applyFill="1" applyBorder="1"/>
    <xf numFmtId="4" fontId="8" fillId="5" borderId="33" xfId="0" applyNumberFormat="1" applyFont="1" applyFill="1" applyBorder="1"/>
    <xf numFmtId="4" fontId="8" fillId="5" borderId="7" xfId="0" applyNumberFormat="1" applyFont="1" applyFill="1" applyBorder="1"/>
    <xf numFmtId="49" fontId="0" fillId="0" borderId="0" xfId="0" applyNumberFormat="1"/>
    <xf numFmtId="49" fontId="0" fillId="2" borderId="1" xfId="0" applyNumberFormat="1" applyFill="1" applyBorder="1"/>
    <xf numFmtId="49" fontId="3" fillId="0" borderId="1" xfId="0" applyNumberFormat="1" applyFont="1" applyBorder="1"/>
    <xf numFmtId="49" fontId="0" fillId="0" borderId="1" xfId="0" applyNumberFormat="1" applyBorder="1"/>
    <xf numFmtId="49" fontId="7" fillId="0" borderId="12" xfId="0" applyNumberFormat="1" applyFont="1" applyBorder="1" applyAlignment="1">
      <alignment horizontal="left"/>
    </xf>
    <xf numFmtId="49" fontId="7" fillId="0" borderId="1" xfId="0" applyNumberFormat="1" applyFont="1" applyBorder="1" applyAlignment="1">
      <alignment horizontal="left"/>
    </xf>
    <xf numFmtId="49" fontId="3" fillId="0" borderId="6" xfId="0" applyNumberFormat="1" applyFont="1" applyBorder="1"/>
    <xf numFmtId="40" fontId="0" fillId="0" borderId="0" xfId="0" applyNumberFormat="1"/>
    <xf numFmtId="40" fontId="0" fillId="2" borderId="1" xfId="0" applyNumberFormat="1" applyFill="1" applyBorder="1"/>
    <xf numFmtId="40" fontId="0" fillId="0" borderId="1" xfId="0" applyNumberFormat="1" applyBorder="1"/>
    <xf numFmtId="40" fontId="1" fillId="0" borderId="0" xfId="0" applyNumberFormat="1" applyFont="1"/>
    <xf numFmtId="4" fontId="10" fillId="5" borderId="36" xfId="0" applyNumberFormat="1" applyFont="1" applyFill="1" applyBorder="1"/>
    <xf numFmtId="4" fontId="8" fillId="0" borderId="0" xfId="0" applyNumberFormat="1" applyFont="1"/>
    <xf numFmtId="4" fontId="10" fillId="4" borderId="1" xfId="0" applyNumberFormat="1" applyFont="1" applyFill="1" applyBorder="1" applyAlignment="1">
      <alignment horizontal="center" vertical="center" wrapText="1"/>
    </xf>
    <xf numFmtId="4" fontId="10" fillId="2" borderId="7" xfId="0" applyNumberFormat="1" applyFont="1" applyFill="1" applyBorder="1" applyAlignment="1">
      <alignment horizontal="center" vertical="center" wrapText="1"/>
    </xf>
    <xf numFmtId="4" fontId="10" fillId="2" borderId="7" xfId="0" applyNumberFormat="1" applyFont="1" applyFill="1" applyBorder="1" applyAlignment="1">
      <alignment horizontal="center" vertical="center"/>
    </xf>
    <xf numFmtId="4" fontId="8" fillId="5" borderId="38" xfId="0" applyNumberFormat="1" applyFont="1" applyFill="1" applyBorder="1"/>
    <xf numFmtId="4" fontId="10" fillId="5" borderId="24" xfId="0" applyNumberFormat="1" applyFont="1" applyFill="1" applyBorder="1"/>
    <xf numFmtId="4" fontId="10" fillId="0" borderId="31" xfId="0" applyNumberFormat="1" applyFont="1" applyBorder="1"/>
    <xf numFmtId="4" fontId="8" fillId="5" borderId="39" xfId="0" applyNumberFormat="1" applyFont="1" applyFill="1" applyBorder="1"/>
    <xf numFmtId="4" fontId="10" fillId="0" borderId="18" xfId="0" applyNumberFormat="1" applyFont="1" applyBorder="1"/>
    <xf numFmtId="4" fontId="10" fillId="0" borderId="42" xfId="0" applyNumberFormat="1" applyFont="1" applyBorder="1"/>
    <xf numFmtId="4" fontId="8" fillId="5" borderId="46" xfId="0" applyNumberFormat="1" applyFont="1" applyFill="1" applyBorder="1"/>
    <xf numFmtId="4" fontId="10" fillId="5" borderId="47" xfId="0" applyNumberFormat="1" applyFont="1" applyFill="1" applyBorder="1"/>
    <xf numFmtId="4" fontId="8" fillId="0" borderId="43" xfId="0" applyNumberFormat="1" applyFont="1" applyBorder="1"/>
    <xf numFmtId="4" fontId="8" fillId="0" borderId="25" xfId="0" applyNumberFormat="1" applyFont="1" applyBorder="1"/>
    <xf numFmtId="4" fontId="8" fillId="0" borderId="18" xfId="0" applyNumberFormat="1" applyFont="1" applyBorder="1"/>
    <xf numFmtId="4" fontId="8" fillId="0" borderId="42" xfId="0" applyNumberFormat="1" applyFont="1" applyBorder="1"/>
    <xf numFmtId="4" fontId="10" fillId="5" borderId="50" xfId="0" applyNumberFormat="1" applyFont="1" applyFill="1" applyBorder="1"/>
    <xf numFmtId="4" fontId="8" fillId="0" borderId="52" xfId="0" applyNumberFormat="1" applyFont="1" applyBorder="1"/>
    <xf numFmtId="4" fontId="8" fillId="0" borderId="54" xfId="0" applyNumberFormat="1" applyFont="1" applyBorder="1"/>
    <xf numFmtId="4" fontId="10" fillId="5" borderId="55" xfId="0" applyNumberFormat="1" applyFont="1" applyFill="1" applyBorder="1"/>
    <xf numFmtId="4" fontId="8" fillId="0" borderId="48" xfId="0" applyNumberFormat="1" applyFont="1" applyBorder="1"/>
    <xf numFmtId="4" fontId="8" fillId="0" borderId="30" xfId="0" applyNumberFormat="1" applyFont="1" applyBorder="1"/>
    <xf numFmtId="4" fontId="10" fillId="5" borderId="22" xfId="0" applyNumberFormat="1" applyFont="1" applyFill="1" applyBorder="1"/>
    <xf numFmtId="4" fontId="10" fillId="5" borderId="45" xfId="0" applyNumberFormat="1" applyFont="1" applyFill="1" applyBorder="1"/>
    <xf numFmtId="4" fontId="10" fillId="0" borderId="41" xfId="0" applyNumberFormat="1" applyFont="1" applyBorder="1"/>
    <xf numFmtId="4" fontId="8" fillId="2" borderId="35" xfId="0" applyNumberFormat="1" applyFont="1" applyFill="1" applyBorder="1"/>
    <xf numFmtId="4" fontId="10" fillId="5" borderId="58" xfId="0" applyNumberFormat="1" applyFont="1" applyFill="1" applyBorder="1"/>
    <xf numFmtId="4" fontId="10" fillId="2" borderId="8" xfId="0" applyNumberFormat="1" applyFont="1" applyFill="1" applyBorder="1"/>
    <xf numFmtId="3" fontId="8" fillId="0" borderId="0" xfId="0" applyNumberFormat="1" applyFont="1"/>
    <xf numFmtId="3" fontId="10" fillId="2" borderId="7" xfId="0" applyNumberFormat="1" applyFont="1" applyFill="1" applyBorder="1" applyAlignment="1">
      <alignment horizontal="center" vertical="center"/>
    </xf>
    <xf numFmtId="3" fontId="8" fillId="5" borderId="15" xfId="0" applyNumberFormat="1" applyFont="1" applyFill="1" applyBorder="1"/>
    <xf numFmtId="3" fontId="8" fillId="0" borderId="20" xfId="0" applyNumberFormat="1" applyFont="1" applyBorder="1"/>
    <xf numFmtId="3" fontId="8" fillId="5" borderId="8" xfId="0" applyNumberFormat="1" applyFont="1" applyFill="1" applyBorder="1"/>
    <xf numFmtId="3" fontId="8" fillId="0" borderId="1" xfId="0" applyNumberFormat="1" applyFont="1" applyBorder="1"/>
    <xf numFmtId="3" fontId="8" fillId="0" borderId="41" xfId="0" applyNumberFormat="1" applyFont="1" applyBorder="1"/>
    <xf numFmtId="3" fontId="8" fillId="5" borderId="45" xfId="0" applyNumberFormat="1" applyFont="1" applyFill="1" applyBorder="1"/>
    <xf numFmtId="3" fontId="8" fillId="0" borderId="8" xfId="0" applyNumberFormat="1" applyFont="1" applyBorder="1"/>
    <xf numFmtId="3" fontId="8" fillId="5" borderId="56" xfId="0" applyNumberFormat="1" applyFont="1" applyFill="1" applyBorder="1"/>
    <xf numFmtId="3" fontId="8" fillId="5" borderId="33" xfId="0" applyNumberFormat="1" applyFont="1" applyFill="1" applyBorder="1"/>
    <xf numFmtId="3" fontId="8" fillId="2" borderId="33" xfId="0" applyNumberFormat="1" applyFont="1" applyFill="1" applyBorder="1"/>
    <xf numFmtId="3" fontId="8" fillId="5" borderId="7" xfId="0" applyNumberFormat="1" applyFont="1" applyFill="1" applyBorder="1"/>
    <xf numFmtId="3" fontId="10" fillId="2" borderId="8" xfId="0" applyNumberFormat="1" applyFont="1" applyFill="1" applyBorder="1"/>
    <xf numFmtId="49" fontId="8" fillId="0" borderId="0" xfId="0" applyNumberFormat="1" applyFont="1"/>
    <xf numFmtId="49" fontId="10" fillId="2" borderId="7" xfId="0" applyNumberFormat="1" applyFont="1" applyFill="1" applyBorder="1" applyAlignment="1">
      <alignment horizontal="center" vertical="center"/>
    </xf>
    <xf numFmtId="49" fontId="8" fillId="5" borderId="14" xfId="0" applyNumberFormat="1" applyFont="1" applyFill="1" applyBorder="1"/>
    <xf numFmtId="49" fontId="8" fillId="5" borderId="15" xfId="0" applyNumberFormat="1" applyFont="1" applyFill="1" applyBorder="1"/>
    <xf numFmtId="49" fontId="8" fillId="0" borderId="19" xfId="0" applyNumberFormat="1" applyFont="1" applyBorder="1"/>
    <xf numFmtId="49" fontId="8" fillId="0" borderId="20" xfId="0" applyNumberFormat="1" applyFont="1" applyBorder="1"/>
    <xf numFmtId="49" fontId="8" fillId="5" borderId="26" xfId="0" applyNumberFormat="1" applyFont="1" applyFill="1" applyBorder="1"/>
    <xf numFmtId="49" fontId="8" fillId="5" borderId="8" xfId="0" applyNumberFormat="1" applyFont="1" applyFill="1" applyBorder="1"/>
    <xf numFmtId="49" fontId="8" fillId="0" borderId="17" xfId="0" applyNumberFormat="1" applyFont="1" applyBorder="1"/>
    <xf numFmtId="49" fontId="8" fillId="0" borderId="1" xfId="0" applyNumberFormat="1" applyFont="1" applyBorder="1"/>
    <xf numFmtId="49" fontId="8" fillId="0" borderId="40" xfId="0" applyNumberFormat="1" applyFont="1" applyBorder="1"/>
    <xf numFmtId="49" fontId="8" fillId="0" borderId="41" xfId="0" applyNumberFormat="1" applyFont="1" applyBorder="1"/>
    <xf numFmtId="49" fontId="8" fillId="5" borderId="44" xfId="0" applyNumberFormat="1" applyFont="1" applyFill="1" applyBorder="1"/>
    <xf numFmtId="49" fontId="8" fillId="5" borderId="45" xfId="0" applyNumberFormat="1" applyFont="1" applyFill="1" applyBorder="1"/>
    <xf numFmtId="49" fontId="8" fillId="0" borderId="26" xfId="0" applyNumberFormat="1" applyFont="1" applyBorder="1"/>
    <xf numFmtId="49" fontId="8" fillId="0" borderId="8" xfId="0" applyNumberFormat="1" applyFont="1" applyBorder="1"/>
    <xf numFmtId="49" fontId="8" fillId="5" borderId="49" xfId="0" applyNumberFormat="1" applyFont="1" applyFill="1" applyBorder="1"/>
    <xf numFmtId="49" fontId="8" fillId="0" borderId="51" xfId="0" applyNumberFormat="1" applyFont="1" applyBorder="1"/>
    <xf numFmtId="49" fontId="8" fillId="0" borderId="53" xfId="0" applyNumberFormat="1" applyFont="1" applyBorder="1"/>
    <xf numFmtId="49" fontId="8" fillId="5" borderId="56" xfId="0" applyNumberFormat="1" applyFont="1" applyFill="1" applyBorder="1"/>
    <xf numFmtId="49" fontId="8" fillId="0" borderId="23" xfId="0" applyNumberFormat="1" applyFont="1" applyBorder="1"/>
    <xf numFmtId="49" fontId="8" fillId="0" borderId="7" xfId="0" applyNumberFormat="1" applyFont="1" applyBorder="1"/>
    <xf numFmtId="49" fontId="8" fillId="5" borderId="32" xfId="0" applyNumberFormat="1" applyFont="1" applyFill="1" applyBorder="1"/>
    <xf numFmtId="49" fontId="8" fillId="5" borderId="33" xfId="0" applyNumberFormat="1" applyFont="1" applyFill="1" applyBorder="1"/>
    <xf numFmtId="49" fontId="8" fillId="5" borderId="57" xfId="0" applyNumberFormat="1" applyFont="1" applyFill="1" applyBorder="1"/>
    <xf numFmtId="49" fontId="10" fillId="2" borderId="32" xfId="0" applyNumberFormat="1" applyFont="1" applyFill="1" applyBorder="1"/>
    <xf numFmtId="49" fontId="8" fillId="2" borderId="33" xfId="0" applyNumberFormat="1" applyFont="1" applyFill="1" applyBorder="1"/>
    <xf numFmtId="49" fontId="8" fillId="5" borderId="23" xfId="0" applyNumberFormat="1" applyFont="1" applyFill="1" applyBorder="1"/>
    <xf numFmtId="49" fontId="8" fillId="5" borderId="7" xfId="0" applyNumberFormat="1" applyFont="1" applyFill="1" applyBorder="1"/>
    <xf numFmtId="49" fontId="10" fillId="2" borderId="8" xfId="0" applyNumberFormat="1" applyFont="1" applyFill="1" applyBorder="1"/>
    <xf numFmtId="49" fontId="8" fillId="5" borderId="1" xfId="0" applyNumberFormat="1" applyFont="1" applyFill="1" applyBorder="1"/>
    <xf numFmtId="3" fontId="8" fillId="5" borderId="1" xfId="0" applyNumberFormat="1" applyFont="1" applyFill="1" applyBorder="1"/>
    <xf numFmtId="4" fontId="8" fillId="5" borderId="1" xfId="0" applyNumberFormat="1" applyFont="1" applyFill="1" applyBorder="1"/>
    <xf numFmtId="49" fontId="8" fillId="0" borderId="59" xfId="0" applyNumberFormat="1" applyFont="1" applyBorder="1"/>
    <xf numFmtId="49" fontId="10" fillId="2" borderId="11" xfId="0" applyNumberFormat="1" applyFont="1" applyFill="1" applyBorder="1"/>
    <xf numFmtId="3" fontId="10" fillId="2" borderId="11" xfId="0" applyNumberFormat="1" applyFont="1" applyFill="1" applyBorder="1"/>
    <xf numFmtId="4" fontId="10" fillId="2" borderId="11" xfId="0" applyNumberFormat="1" applyFont="1" applyFill="1" applyBorder="1"/>
    <xf numFmtId="4" fontId="8" fillId="5" borderId="5" xfId="0" applyNumberFormat="1" applyFont="1" applyFill="1" applyBorder="1"/>
    <xf numFmtId="3" fontId="8" fillId="0" borderId="59" xfId="0" applyNumberFormat="1" applyFont="1" applyBorder="1"/>
    <xf numFmtId="4" fontId="8" fillId="0" borderId="59" xfId="0" applyNumberFormat="1" applyFont="1" applyBorder="1"/>
    <xf numFmtId="4" fontId="10" fillId="0" borderId="61" xfId="0" applyNumberFormat="1" applyFont="1" applyBorder="1"/>
    <xf numFmtId="49" fontId="8" fillId="5" borderId="11" xfId="0" applyNumberFormat="1" applyFont="1" applyFill="1" applyBorder="1"/>
    <xf numFmtId="3" fontId="8" fillId="5" borderId="11" xfId="0" applyNumberFormat="1" applyFont="1" applyFill="1" applyBorder="1"/>
    <xf numFmtId="4" fontId="8" fillId="5" borderId="11" xfId="0" applyNumberFormat="1" applyFont="1" applyFill="1" applyBorder="1"/>
    <xf numFmtId="4" fontId="10" fillId="0" borderId="1" xfId="0" applyNumberFormat="1" applyFont="1" applyBorder="1"/>
    <xf numFmtId="4" fontId="8" fillId="0" borderId="60" xfId="0" applyNumberFormat="1" applyFont="1" applyBorder="1"/>
    <xf numFmtId="49" fontId="8" fillId="0" borderId="62" xfId="0" applyNumberFormat="1" applyFont="1" applyBorder="1"/>
    <xf numFmtId="49" fontId="5" fillId="0" borderId="2" xfId="0" applyNumberFormat="1" applyFont="1" applyBorder="1"/>
    <xf numFmtId="49" fontId="5" fillId="0" borderId="4" xfId="0" applyNumberFormat="1" applyFont="1" applyBorder="1"/>
    <xf numFmtId="49" fontId="10" fillId="2" borderId="63" xfId="0" applyNumberFormat="1" applyFont="1" applyFill="1" applyBorder="1" applyAlignment="1">
      <alignment vertical="center"/>
    </xf>
    <xf numFmtId="49" fontId="10" fillId="2" borderId="64" xfId="0" applyNumberFormat="1" applyFont="1" applyFill="1" applyBorder="1" applyAlignment="1">
      <alignment vertical="center"/>
    </xf>
    <xf numFmtId="49" fontId="10" fillId="2" borderId="65" xfId="0" applyNumberFormat="1" applyFont="1" applyFill="1" applyBorder="1" applyAlignment="1">
      <alignment vertical="center"/>
    </xf>
    <xf numFmtId="49" fontId="8" fillId="5" borderId="37" xfId="0" applyNumberFormat="1" applyFont="1" applyFill="1" applyBorder="1"/>
    <xf numFmtId="4" fontId="8" fillId="5" borderId="21" xfId="0" applyNumberFormat="1" applyFont="1" applyFill="1" applyBorder="1"/>
    <xf numFmtId="49" fontId="8" fillId="0" borderId="14" xfId="0" applyNumberFormat="1" applyFont="1" applyBorder="1"/>
    <xf numFmtId="49" fontId="8" fillId="0" borderId="15" xfId="0" applyNumberFormat="1" applyFont="1" applyBorder="1"/>
    <xf numFmtId="3" fontId="8" fillId="0" borderId="15" xfId="0" applyNumberFormat="1" applyFont="1" applyBorder="1"/>
    <xf numFmtId="4" fontId="8" fillId="0" borderId="15" xfId="0" applyNumberFormat="1" applyFont="1" applyBorder="1"/>
    <xf numFmtId="4" fontId="10" fillId="0" borderId="16" xfId="0" applyNumberFormat="1" applyFont="1" applyBorder="1"/>
    <xf numFmtId="4" fontId="10" fillId="0" borderId="66" xfId="0" applyNumberFormat="1" applyFont="1" applyBorder="1"/>
    <xf numFmtId="4" fontId="8" fillId="0" borderId="33" xfId="0" applyNumberFormat="1" applyFont="1" applyBorder="1"/>
    <xf numFmtId="49" fontId="10" fillId="2" borderId="9" xfId="0" applyNumberFormat="1" applyFont="1" applyFill="1" applyBorder="1"/>
    <xf numFmtId="49" fontId="8" fillId="2" borderId="10" xfId="0" applyNumberFormat="1" applyFont="1" applyFill="1" applyBorder="1"/>
    <xf numFmtId="3" fontId="8" fillId="2" borderId="10" xfId="0" applyNumberFormat="1" applyFont="1" applyFill="1" applyBorder="1"/>
    <xf numFmtId="4" fontId="8" fillId="2" borderId="10" xfId="0" applyNumberFormat="1" applyFont="1" applyFill="1" applyBorder="1"/>
    <xf numFmtId="4" fontId="8" fillId="2" borderId="67" xfId="0" applyNumberFormat="1" applyFont="1" applyFill="1" applyBorder="1"/>
    <xf numFmtId="4" fontId="10" fillId="2" borderId="29" xfId="0" applyNumberFormat="1" applyFont="1" applyFill="1" applyBorder="1"/>
    <xf numFmtId="49" fontId="1" fillId="2" borderId="6" xfId="0" applyNumberFormat="1" applyFont="1" applyFill="1" applyBorder="1" applyAlignment="1">
      <alignment horizontal="left"/>
    </xf>
    <xf numFmtId="49" fontId="1" fillId="2" borderId="34" xfId="0" applyNumberFormat="1" applyFont="1" applyFill="1" applyBorder="1" applyAlignment="1">
      <alignment horizontal="left"/>
    </xf>
    <xf numFmtId="40" fontId="0" fillId="2" borderId="5" xfId="0" applyNumberFormat="1" applyFill="1" applyBorder="1"/>
    <xf numFmtId="40" fontId="0" fillId="0" borderId="5" xfId="0" applyNumberFormat="1" applyBorder="1"/>
    <xf numFmtId="49" fontId="1" fillId="3" borderId="68" xfId="0" applyNumberFormat="1" applyFont="1" applyFill="1" applyBorder="1" applyAlignment="1">
      <alignment horizontal="center"/>
    </xf>
    <xf numFmtId="49" fontId="1" fillId="3" borderId="8" xfId="0" applyNumberFormat="1" applyFont="1" applyFill="1" applyBorder="1" applyAlignment="1">
      <alignment horizontal="center"/>
    </xf>
    <xf numFmtId="40" fontId="1" fillId="3" borderId="8" xfId="0" applyNumberFormat="1" applyFont="1" applyFill="1" applyBorder="1" applyAlignment="1">
      <alignment horizontal="center"/>
    </xf>
    <xf numFmtId="40" fontId="1" fillId="3" borderId="8" xfId="0" applyNumberFormat="1" applyFont="1" applyFill="1" applyBorder="1" applyAlignment="1">
      <alignment horizontal="center" wrapText="1"/>
    </xf>
    <xf numFmtId="40" fontId="1" fillId="3" borderId="39" xfId="0" applyNumberFormat="1" applyFont="1" applyFill="1" applyBorder="1" applyAlignment="1">
      <alignment horizontal="center" wrapText="1"/>
    </xf>
    <xf numFmtId="49" fontId="3" fillId="0" borderId="69" xfId="0" applyNumberFormat="1" applyFont="1" applyBorder="1"/>
    <xf numFmtId="49" fontId="3" fillId="0" borderId="7" xfId="0" applyNumberFormat="1" applyFont="1" applyBorder="1"/>
    <xf numFmtId="49" fontId="0" fillId="0" borderId="7" xfId="0" applyNumberFormat="1" applyBorder="1"/>
    <xf numFmtId="40" fontId="0" fillId="0" borderId="7" xfId="0" applyNumberFormat="1" applyBorder="1"/>
    <xf numFmtId="40" fontId="0" fillId="0" borderId="13" xfId="0" applyNumberFormat="1" applyBorder="1"/>
    <xf numFmtId="0" fontId="0" fillId="0" borderId="11" xfId="0" applyBorder="1"/>
    <xf numFmtId="40" fontId="0" fillId="0" borderId="21" xfId="0" applyNumberFormat="1" applyBorder="1"/>
    <xf numFmtId="0" fontId="0" fillId="0" borderId="13" xfId="0" applyBorder="1"/>
    <xf numFmtId="0" fontId="0" fillId="0" borderId="69" xfId="0" applyBorder="1"/>
    <xf numFmtId="0" fontId="0" fillId="0" borderId="1" xfId="0" applyBorder="1"/>
    <xf numFmtId="0" fontId="13" fillId="0" borderId="1" xfId="0" applyFont="1" applyBorder="1"/>
    <xf numFmtId="0" fontId="0" fillId="0" borderId="39" xfId="0" applyBorder="1"/>
    <xf numFmtId="0" fontId="0" fillId="0" borderId="68" xfId="0" applyBorder="1"/>
    <xf numFmtId="164" fontId="0" fillId="0" borderId="0" xfId="0" applyNumberFormat="1"/>
    <xf numFmtId="14" fontId="0" fillId="0" borderId="1" xfId="0" applyNumberFormat="1" applyBorder="1"/>
    <xf numFmtId="164" fontId="0" fillId="0" borderId="1" xfId="0" applyNumberFormat="1" applyBorder="1"/>
    <xf numFmtId="2" fontId="0" fillId="0" borderId="1" xfId="0" applyNumberFormat="1" applyBorder="1"/>
    <xf numFmtId="0" fontId="1" fillId="0" borderId="0" xfId="0" applyFont="1"/>
    <xf numFmtId="0" fontId="1" fillId="7" borderId="1" xfId="0" applyFont="1" applyFill="1" applyBorder="1" applyAlignment="1">
      <alignment horizontal="center"/>
    </xf>
    <xf numFmtId="2" fontId="0" fillId="0" borderId="0" xfId="0" applyNumberFormat="1"/>
    <xf numFmtId="2" fontId="1" fillId="7" borderId="1" xfId="0" applyNumberFormat="1" applyFont="1" applyFill="1" applyBorder="1" applyAlignment="1">
      <alignment horizontal="center"/>
    </xf>
    <xf numFmtId="9" fontId="13" fillId="0" borderId="1" xfId="0" applyNumberFormat="1" applyFont="1" applyBorder="1"/>
    <xf numFmtId="10" fontId="0" fillId="0" borderId="1" xfId="0" applyNumberFormat="1" applyBorder="1"/>
    <xf numFmtId="2" fontId="1" fillId="6" borderId="1" xfId="0" applyNumberFormat="1" applyFont="1" applyFill="1" applyBorder="1"/>
    <xf numFmtId="2" fontId="1" fillId="0" borderId="1" xfId="0" applyNumberFormat="1" applyFont="1" applyBorder="1"/>
    <xf numFmtId="0" fontId="1" fillId="6" borderId="1" xfId="0" applyFont="1" applyFill="1" applyBorder="1"/>
    <xf numFmtId="0" fontId="0" fillId="8" borderId="0" xfId="0" applyFill="1"/>
    <xf numFmtId="2" fontId="0" fillId="8" borderId="0" xfId="0" applyNumberFormat="1" applyFill="1"/>
    <xf numFmtId="0" fontId="0" fillId="0" borderId="6" xfId="0" applyBorder="1"/>
    <xf numFmtId="0" fontId="0" fillId="0" borderId="5" xfId="0" applyBorder="1"/>
    <xf numFmtId="0" fontId="0" fillId="0" borderId="8" xfId="0" applyBorder="1"/>
    <xf numFmtId="0" fontId="0" fillId="0" borderId="7" xfId="0" applyBorder="1"/>
    <xf numFmtId="0" fontId="15" fillId="0" borderId="0" xfId="1"/>
    <xf numFmtId="0" fontId="0" fillId="0" borderId="0" xfId="0" pivotButton="1"/>
    <xf numFmtId="0" fontId="0" fillId="0" borderId="0" xfId="0" applyAlignment="1">
      <alignment horizontal="left"/>
    </xf>
    <xf numFmtId="0" fontId="0" fillId="0" borderId="71" xfId="0" applyBorder="1"/>
    <xf numFmtId="0" fontId="0" fillId="0" borderId="72" xfId="0" applyBorder="1"/>
    <xf numFmtId="0" fontId="0" fillId="0" borderId="73" xfId="0" applyBorder="1"/>
    <xf numFmtId="0" fontId="0" fillId="0" borderId="74" xfId="0" applyBorder="1"/>
    <xf numFmtId="0" fontId="0" fillId="0" borderId="75" xfId="0" applyBorder="1"/>
    <xf numFmtId="0" fontId="0" fillId="0" borderId="76" xfId="0" applyBorder="1"/>
    <xf numFmtId="0" fontId="0" fillId="0" borderId="77" xfId="0" applyBorder="1"/>
    <xf numFmtId="0" fontId="0" fillId="0" borderId="78" xfId="0" applyBorder="1"/>
    <xf numFmtId="0" fontId="0" fillId="0" borderId="79" xfId="0" applyBorder="1"/>
    <xf numFmtId="0" fontId="0" fillId="0" borderId="0" xfId="0" applyAlignment="1">
      <alignment horizontal="left" indent="1"/>
    </xf>
    <xf numFmtId="14" fontId="0" fillId="0" borderId="0" xfId="0" applyNumberFormat="1"/>
    <xf numFmtId="0" fontId="16" fillId="0" borderId="1" xfId="0" applyFont="1" applyBorder="1"/>
    <xf numFmtId="0" fontId="3" fillId="0" borderId="70" xfId="0" applyFont="1" applyBorder="1"/>
    <xf numFmtId="0" fontId="3" fillId="0" borderId="11" xfId="0" applyFont="1" applyBorder="1"/>
    <xf numFmtId="165" fontId="0" fillId="0" borderId="1" xfId="0" applyNumberFormat="1" applyBorder="1"/>
    <xf numFmtId="0" fontId="0" fillId="0" borderId="1" xfId="0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 wrapText="1"/>
    </xf>
    <xf numFmtId="165" fontId="1" fillId="9" borderId="1" xfId="0" applyNumberFormat="1" applyFont="1" applyFill="1" applyBorder="1" applyAlignment="1">
      <alignment horizontal="center" wrapText="1"/>
    </xf>
    <xf numFmtId="0" fontId="0" fillId="0" borderId="0" xfId="0" applyAlignment="1">
      <alignment horizontal="left" indent="2"/>
    </xf>
    <xf numFmtId="49" fontId="12" fillId="0" borderId="27" xfId="0" applyNumberFormat="1" applyFont="1" applyBorder="1" applyAlignment="1">
      <alignment horizontal="left"/>
    </xf>
    <xf numFmtId="49" fontId="1" fillId="0" borderId="29" xfId="0" applyNumberFormat="1" applyFont="1" applyBorder="1" applyAlignment="1">
      <alignment horizontal="left"/>
    </xf>
    <xf numFmtId="0" fontId="2" fillId="0" borderId="0" xfId="0" applyFont="1" applyAlignment="1">
      <alignment horizontal="center"/>
    </xf>
    <xf numFmtId="0" fontId="1" fillId="0" borderId="27" xfId="0" applyFont="1" applyBorder="1" applyAlignment="1">
      <alignment horizontal="left"/>
    </xf>
    <xf numFmtId="0" fontId="1" fillId="0" borderId="28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49" fontId="10" fillId="4" borderId="7" xfId="0" applyNumberFormat="1" applyFont="1" applyFill="1" applyBorder="1" applyAlignment="1">
      <alignment horizontal="center" vertical="center"/>
    </xf>
    <xf numFmtId="49" fontId="10" fillId="4" borderId="8" xfId="0" applyNumberFormat="1" applyFont="1" applyFill="1" applyBorder="1" applyAlignment="1">
      <alignment horizontal="center" vertical="center"/>
    </xf>
    <xf numFmtId="4" fontId="10" fillId="4" borderId="7" xfId="0" applyNumberFormat="1" applyFont="1" applyFill="1" applyBorder="1" applyAlignment="1">
      <alignment horizontal="center" vertical="center"/>
    </xf>
    <xf numFmtId="4" fontId="10" fillId="4" borderId="8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4" fontId="10" fillId="4" borderId="5" xfId="0" applyNumberFormat="1" applyFont="1" applyFill="1" applyBorder="1" applyAlignment="1">
      <alignment horizontal="center" vertical="center"/>
    </xf>
    <xf numFmtId="4" fontId="10" fillId="4" borderId="34" xfId="0" applyNumberFormat="1" applyFont="1" applyFill="1" applyBorder="1" applyAlignment="1">
      <alignment horizontal="center" vertical="center"/>
    </xf>
    <xf numFmtId="4" fontId="10" fillId="4" borderId="6" xfId="0" applyNumberFormat="1" applyFont="1" applyFill="1" applyBorder="1" applyAlignment="1">
      <alignment horizontal="center" vertical="center"/>
    </xf>
    <xf numFmtId="3" fontId="10" fillId="4" borderId="7" xfId="0" applyNumberFormat="1" applyFont="1" applyFill="1" applyBorder="1" applyAlignment="1">
      <alignment horizontal="center" vertical="center" wrapText="1"/>
    </xf>
    <xf numFmtId="3" fontId="10" fillId="4" borderId="8" xfId="0" applyNumberFormat="1" applyFont="1" applyFill="1" applyBorder="1" applyAlignment="1">
      <alignment horizontal="center" vertical="center"/>
    </xf>
    <xf numFmtId="0" fontId="14" fillId="7" borderId="0" xfId="0" applyFont="1" applyFill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34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10" borderId="1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27"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8" formatCode="#,##0.00;[Red]\-#,##0.00"/>
      <border diagonalUp="0" diagonalDown="0" outline="0">
        <left style="thin">
          <color indexed="64"/>
        </left>
        <right/>
        <top/>
        <bottom/>
      </border>
    </dxf>
    <dxf>
      <numFmt numFmtId="8" formatCode="#,##0.00;[Red]\-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8" formatCode="#,##0.00;[Red]\-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8" formatCode="#,##0.00;[Red]\-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30" formatCode="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DIAGRAMA DE GANTT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>
        <c:manualLayout>
          <c:layoutTarget val="inner"/>
          <c:xMode val="edge"/>
          <c:yMode val="edge"/>
          <c:x val="0.34747179605582668"/>
          <c:y val="0.20233719915747669"/>
          <c:w val="0.63399096093776952"/>
          <c:h val="0.77216442346653813"/>
        </c:manualLayout>
      </c:layout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CRONOGRAMA!$B$3:$B$54</c:f>
              <c:strCache>
                <c:ptCount val="52"/>
                <c:pt idx="0">
                  <c:v>INSTALACION DE FAENAS</c:v>
                </c:pt>
                <c:pt idx="1">
                  <c:v>REPLANTEO</c:v>
                </c:pt>
                <c:pt idx="2">
                  <c:v>EXCAVACION EN SUELO SEMIDURO H=1.5M</c:v>
                </c:pt>
                <c:pt idx="3">
                  <c:v>ZAPATA  H° A°</c:v>
                </c:pt>
                <c:pt idx="4">
                  <c:v>CIMIENTO DE HORMIGON CICLOPEO (50%PD)</c:v>
                </c:pt>
                <c:pt idx="5">
                  <c:v>SOBRECIMIENTO DE HORMIGON CICLOPEO (50%PD)</c:v>
                </c:pt>
                <c:pt idx="6">
                  <c:v>COLUMNA H° A°</c:v>
                </c:pt>
                <c:pt idx="7">
                  <c:v>IMPERMEABILIZACION SOBRECIMIENTO C/CARTON ASFALTICO</c:v>
                </c:pt>
                <c:pt idx="8">
                  <c:v>MURO DE 6 HUECOS DE 20cm</c:v>
                </c:pt>
                <c:pt idx="9">
                  <c:v>MURO DE 6 HUECOS DE 15 cm  </c:v>
                </c:pt>
                <c:pt idx="10">
                  <c:v>MURO de 6 HUECOS DE 10 cm </c:v>
                </c:pt>
                <c:pt idx="11">
                  <c:v>VIGA H° A°</c:v>
                </c:pt>
                <c:pt idx="12">
                  <c:v>LOSA ALIVIANADA H°A°</c:v>
                </c:pt>
                <c:pt idx="13">
                  <c:v>ESCALERA H° A°</c:v>
                </c:pt>
                <c:pt idx="14">
                  <c:v>CUBIERTA DE CALAMINA ONDULADA </c:v>
                </c:pt>
                <c:pt idx="15">
                  <c:v>DINTEL H° A°</c:v>
                </c:pt>
                <c:pt idx="16">
                  <c:v>BOTAGUAS DE H° A°</c:v>
                </c:pt>
                <c:pt idx="17">
                  <c:v>EMPEDRADO Y CONTRAPISO DE H°</c:v>
                </c:pt>
                <c:pt idx="18">
                  <c:v>CONTRAPISO DE CEMENTO S/LOSA </c:v>
                </c:pt>
                <c:pt idx="19">
                  <c:v>PISO DE CERAMICA NACIONAL </c:v>
                </c:pt>
                <c:pt idx="20">
                  <c:v>PISO FLOTANTE </c:v>
                </c:pt>
                <c:pt idx="21">
                  <c:v>REVESTIMIENTO CERAMICA</c:v>
                </c:pt>
                <c:pt idx="22">
                  <c:v>REVOQUE CIELO RASO </c:v>
                </c:pt>
                <c:pt idx="23">
                  <c:v>REVOQUE CIELO RASO S/LOSA</c:v>
                </c:pt>
                <c:pt idx="24">
                  <c:v>REVOQUE EXTERIOR DE CEMENTO</c:v>
                </c:pt>
                <c:pt idx="25">
                  <c:v>REVOQUE INTERIOR DE YESO</c:v>
                </c:pt>
                <c:pt idx="26">
                  <c:v>PUERTA INTERIOR DE MADERA </c:v>
                </c:pt>
                <c:pt idx="27">
                  <c:v>PUERTA EXTERIOR DE MADERA </c:v>
                </c:pt>
                <c:pt idx="28">
                  <c:v>VENTANA DE ALUMINIO </c:v>
                </c:pt>
                <c:pt idx="29">
                  <c:v>ZOCALO DE CERAMICA </c:v>
                </c:pt>
                <c:pt idx="30">
                  <c:v>ZOCALO DE MADERA </c:v>
                </c:pt>
                <c:pt idx="31">
                  <c:v>BAJANTE DE CALAMINA </c:v>
                </c:pt>
                <c:pt idx="32">
                  <c:v>CANALETA DE CALAMINA </c:v>
                </c:pt>
                <c:pt idx="33">
                  <c:v>TUBO DE DESAGUE PVC 4"</c:v>
                </c:pt>
                <c:pt idx="34">
                  <c:v>TUBO DE DESAGUE PVC 2"</c:v>
                </c:pt>
                <c:pt idx="35">
                  <c:v>CAMARA DE INSPECCION 60 x 60</c:v>
                </c:pt>
                <c:pt idx="36">
                  <c:v>CAMARA DE REGISTRO 40 x 40</c:v>
                </c:pt>
                <c:pt idx="37">
                  <c:v>CAÑERIA GALVANIZADA 1/2"</c:v>
                </c:pt>
                <c:pt idx="38">
                  <c:v>LLAVE DE PASO 1/2"</c:v>
                </c:pt>
                <c:pt idx="39">
                  <c:v>INSTALACION DE INODORO TANQUE BAJO </c:v>
                </c:pt>
                <c:pt idx="40">
                  <c:v>INSTALACION DE DUCHA </c:v>
                </c:pt>
                <c:pt idx="41">
                  <c:v>INSTALACION LAVAPLATOS </c:v>
                </c:pt>
                <c:pt idx="42">
                  <c:v>INSTALACION LAVAMANOS </c:v>
                </c:pt>
                <c:pt idx="43">
                  <c:v>ILUMINACION INCANDESCENTE </c:v>
                </c:pt>
                <c:pt idx="44">
                  <c:v>ILUMINACION FLUORESCENTE </c:v>
                </c:pt>
                <c:pt idx="45">
                  <c:v>TOMACORRIENTE  DOBLE</c:v>
                </c:pt>
                <c:pt idx="46">
                  <c:v>INSTALACION PUNTO TV</c:v>
                </c:pt>
                <c:pt idx="47">
                  <c:v>INSTALACION TIMBRE </c:v>
                </c:pt>
                <c:pt idx="48">
                  <c:v>PINTURA INTERIOR LATEX </c:v>
                </c:pt>
                <c:pt idx="49">
                  <c:v>PINTURA EXTERIOR LATEX </c:v>
                </c:pt>
                <c:pt idx="50">
                  <c:v>PINTURA INTERIOR AL OLEO </c:v>
                </c:pt>
                <c:pt idx="51">
                  <c:v>PINTURA ANTICORROSIVA P/CUBIERTA</c:v>
                </c:pt>
              </c:strCache>
            </c:strRef>
          </c:cat>
          <c:val>
            <c:numRef>
              <c:f>CRONOGRAMA!$C$3:$C$54</c:f>
              <c:numCache>
                <c:formatCode>[$-409]d\-mmm\-yy;@</c:formatCode>
                <c:ptCount val="52"/>
                <c:pt idx="0">
                  <c:v>44007</c:v>
                </c:pt>
                <c:pt idx="1">
                  <c:v>44007</c:v>
                </c:pt>
                <c:pt idx="2">
                  <c:v>44011</c:v>
                </c:pt>
                <c:pt idx="3">
                  <c:v>44026</c:v>
                </c:pt>
                <c:pt idx="4">
                  <c:v>44046</c:v>
                </c:pt>
                <c:pt idx="5">
                  <c:v>44054</c:v>
                </c:pt>
                <c:pt idx="6">
                  <c:v>44057</c:v>
                </c:pt>
                <c:pt idx="7">
                  <c:v>44062</c:v>
                </c:pt>
                <c:pt idx="8">
                  <c:v>44062</c:v>
                </c:pt>
                <c:pt idx="9">
                  <c:v>44079</c:v>
                </c:pt>
                <c:pt idx="10">
                  <c:v>44089</c:v>
                </c:pt>
                <c:pt idx="11">
                  <c:v>44096</c:v>
                </c:pt>
                <c:pt idx="12">
                  <c:v>44112</c:v>
                </c:pt>
                <c:pt idx="13">
                  <c:v>44125</c:v>
                </c:pt>
                <c:pt idx="14">
                  <c:v>44125</c:v>
                </c:pt>
                <c:pt idx="15">
                  <c:v>44147</c:v>
                </c:pt>
                <c:pt idx="16">
                  <c:v>44147</c:v>
                </c:pt>
                <c:pt idx="17">
                  <c:v>44154</c:v>
                </c:pt>
                <c:pt idx="18">
                  <c:v>44167</c:v>
                </c:pt>
                <c:pt idx="19">
                  <c:v>44176</c:v>
                </c:pt>
                <c:pt idx="20">
                  <c:v>44187</c:v>
                </c:pt>
                <c:pt idx="21">
                  <c:v>44211</c:v>
                </c:pt>
                <c:pt idx="22">
                  <c:v>44229</c:v>
                </c:pt>
                <c:pt idx="23">
                  <c:v>44244</c:v>
                </c:pt>
                <c:pt idx="24">
                  <c:v>44264</c:v>
                </c:pt>
                <c:pt idx="25">
                  <c:v>44299</c:v>
                </c:pt>
                <c:pt idx="26">
                  <c:v>44341</c:v>
                </c:pt>
                <c:pt idx="27">
                  <c:v>44342</c:v>
                </c:pt>
                <c:pt idx="28">
                  <c:v>44342</c:v>
                </c:pt>
                <c:pt idx="29">
                  <c:v>44347</c:v>
                </c:pt>
                <c:pt idx="30">
                  <c:v>44347</c:v>
                </c:pt>
                <c:pt idx="31">
                  <c:v>44364</c:v>
                </c:pt>
                <c:pt idx="32">
                  <c:v>44364</c:v>
                </c:pt>
                <c:pt idx="33">
                  <c:v>44370</c:v>
                </c:pt>
                <c:pt idx="34">
                  <c:v>44370</c:v>
                </c:pt>
                <c:pt idx="35">
                  <c:v>44370</c:v>
                </c:pt>
                <c:pt idx="36">
                  <c:v>44372</c:v>
                </c:pt>
                <c:pt idx="37">
                  <c:v>44372</c:v>
                </c:pt>
                <c:pt idx="38">
                  <c:v>44377</c:v>
                </c:pt>
                <c:pt idx="39">
                  <c:v>44377</c:v>
                </c:pt>
                <c:pt idx="40">
                  <c:v>44377</c:v>
                </c:pt>
                <c:pt idx="41">
                  <c:v>44377</c:v>
                </c:pt>
                <c:pt idx="42">
                  <c:v>44377</c:v>
                </c:pt>
                <c:pt idx="43">
                  <c:v>44377</c:v>
                </c:pt>
                <c:pt idx="44">
                  <c:v>44377</c:v>
                </c:pt>
                <c:pt idx="45">
                  <c:v>44378</c:v>
                </c:pt>
                <c:pt idx="46">
                  <c:v>44384</c:v>
                </c:pt>
                <c:pt idx="47">
                  <c:v>44385</c:v>
                </c:pt>
                <c:pt idx="48">
                  <c:v>44385</c:v>
                </c:pt>
                <c:pt idx="49">
                  <c:v>44398</c:v>
                </c:pt>
                <c:pt idx="50">
                  <c:v>44424</c:v>
                </c:pt>
                <c:pt idx="51">
                  <c:v>44425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18-4444-B3B6-78744FD821F4}"/>
            </c:ext>
          </c:extLst>
        </c:ser>
        <c:ser>
          <c:idx val="1"/>
          <c:order val="1"/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B18-4444-B3B6-78744FD821F4}"/>
              </c:ext>
            </c:extLst>
          </c:dPt>
          <c:dPt>
            <c:idx val="1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B18-4444-B3B6-78744FD821F4}"/>
              </c:ext>
            </c:extLst>
          </c:dPt>
          <c:cat>
            <c:strRef>
              <c:f>CRONOGRAMA!$B$3:$B$54</c:f>
              <c:strCache>
                <c:ptCount val="52"/>
                <c:pt idx="0">
                  <c:v>INSTALACION DE FAENAS</c:v>
                </c:pt>
                <c:pt idx="1">
                  <c:v>REPLANTEO</c:v>
                </c:pt>
                <c:pt idx="2">
                  <c:v>EXCAVACION EN SUELO SEMIDURO H=1.5M</c:v>
                </c:pt>
                <c:pt idx="3">
                  <c:v>ZAPATA  H° A°</c:v>
                </c:pt>
                <c:pt idx="4">
                  <c:v>CIMIENTO DE HORMIGON CICLOPEO (50%PD)</c:v>
                </c:pt>
                <c:pt idx="5">
                  <c:v>SOBRECIMIENTO DE HORMIGON CICLOPEO (50%PD)</c:v>
                </c:pt>
                <c:pt idx="6">
                  <c:v>COLUMNA H° A°</c:v>
                </c:pt>
                <c:pt idx="7">
                  <c:v>IMPERMEABILIZACION SOBRECIMIENTO C/CARTON ASFALTICO</c:v>
                </c:pt>
                <c:pt idx="8">
                  <c:v>MURO DE 6 HUECOS DE 20cm</c:v>
                </c:pt>
                <c:pt idx="9">
                  <c:v>MURO DE 6 HUECOS DE 15 cm  </c:v>
                </c:pt>
                <c:pt idx="10">
                  <c:v>MURO de 6 HUECOS DE 10 cm </c:v>
                </c:pt>
                <c:pt idx="11">
                  <c:v>VIGA H° A°</c:v>
                </c:pt>
                <c:pt idx="12">
                  <c:v>LOSA ALIVIANADA H°A°</c:v>
                </c:pt>
                <c:pt idx="13">
                  <c:v>ESCALERA H° A°</c:v>
                </c:pt>
                <c:pt idx="14">
                  <c:v>CUBIERTA DE CALAMINA ONDULADA </c:v>
                </c:pt>
                <c:pt idx="15">
                  <c:v>DINTEL H° A°</c:v>
                </c:pt>
                <c:pt idx="16">
                  <c:v>BOTAGUAS DE H° A°</c:v>
                </c:pt>
                <c:pt idx="17">
                  <c:v>EMPEDRADO Y CONTRAPISO DE H°</c:v>
                </c:pt>
                <c:pt idx="18">
                  <c:v>CONTRAPISO DE CEMENTO S/LOSA </c:v>
                </c:pt>
                <c:pt idx="19">
                  <c:v>PISO DE CERAMICA NACIONAL </c:v>
                </c:pt>
                <c:pt idx="20">
                  <c:v>PISO FLOTANTE </c:v>
                </c:pt>
                <c:pt idx="21">
                  <c:v>REVESTIMIENTO CERAMICA</c:v>
                </c:pt>
                <c:pt idx="22">
                  <c:v>REVOQUE CIELO RASO </c:v>
                </c:pt>
                <c:pt idx="23">
                  <c:v>REVOQUE CIELO RASO S/LOSA</c:v>
                </c:pt>
                <c:pt idx="24">
                  <c:v>REVOQUE EXTERIOR DE CEMENTO</c:v>
                </c:pt>
                <c:pt idx="25">
                  <c:v>REVOQUE INTERIOR DE YESO</c:v>
                </c:pt>
                <c:pt idx="26">
                  <c:v>PUERTA INTERIOR DE MADERA </c:v>
                </c:pt>
                <c:pt idx="27">
                  <c:v>PUERTA EXTERIOR DE MADERA </c:v>
                </c:pt>
                <c:pt idx="28">
                  <c:v>VENTANA DE ALUMINIO </c:v>
                </c:pt>
                <c:pt idx="29">
                  <c:v>ZOCALO DE CERAMICA </c:v>
                </c:pt>
                <c:pt idx="30">
                  <c:v>ZOCALO DE MADERA </c:v>
                </c:pt>
                <c:pt idx="31">
                  <c:v>BAJANTE DE CALAMINA </c:v>
                </c:pt>
                <c:pt idx="32">
                  <c:v>CANALETA DE CALAMINA </c:v>
                </c:pt>
                <c:pt idx="33">
                  <c:v>TUBO DE DESAGUE PVC 4"</c:v>
                </c:pt>
                <c:pt idx="34">
                  <c:v>TUBO DE DESAGUE PVC 2"</c:v>
                </c:pt>
                <c:pt idx="35">
                  <c:v>CAMARA DE INSPECCION 60 x 60</c:v>
                </c:pt>
                <c:pt idx="36">
                  <c:v>CAMARA DE REGISTRO 40 x 40</c:v>
                </c:pt>
                <c:pt idx="37">
                  <c:v>CAÑERIA GALVANIZADA 1/2"</c:v>
                </c:pt>
                <c:pt idx="38">
                  <c:v>LLAVE DE PASO 1/2"</c:v>
                </c:pt>
                <c:pt idx="39">
                  <c:v>INSTALACION DE INODORO TANQUE BAJO </c:v>
                </c:pt>
                <c:pt idx="40">
                  <c:v>INSTALACION DE DUCHA </c:v>
                </c:pt>
                <c:pt idx="41">
                  <c:v>INSTALACION LAVAPLATOS </c:v>
                </c:pt>
                <c:pt idx="42">
                  <c:v>INSTALACION LAVAMANOS </c:v>
                </c:pt>
                <c:pt idx="43">
                  <c:v>ILUMINACION INCANDESCENTE </c:v>
                </c:pt>
                <c:pt idx="44">
                  <c:v>ILUMINACION FLUORESCENTE </c:v>
                </c:pt>
                <c:pt idx="45">
                  <c:v>TOMACORRIENTE  DOBLE</c:v>
                </c:pt>
                <c:pt idx="46">
                  <c:v>INSTALACION PUNTO TV</c:v>
                </c:pt>
                <c:pt idx="47">
                  <c:v>INSTALACION TIMBRE </c:v>
                </c:pt>
                <c:pt idx="48">
                  <c:v>PINTURA INTERIOR LATEX </c:v>
                </c:pt>
                <c:pt idx="49">
                  <c:v>PINTURA EXTERIOR LATEX </c:v>
                </c:pt>
                <c:pt idx="50">
                  <c:v>PINTURA INTERIOR AL OLEO </c:v>
                </c:pt>
                <c:pt idx="51">
                  <c:v>PINTURA ANTICORROSIVA P/CUBIERTA</c:v>
                </c:pt>
              </c:strCache>
            </c:strRef>
          </c:cat>
          <c:val>
            <c:numRef>
              <c:f>CRONOGRAMA!$D$3:$D$54</c:f>
              <c:numCache>
                <c:formatCode>General</c:formatCode>
                <c:ptCount val="52"/>
                <c:pt idx="0">
                  <c:v>1</c:v>
                </c:pt>
                <c:pt idx="1">
                  <c:v>3</c:v>
                </c:pt>
                <c:pt idx="2">
                  <c:v>12</c:v>
                </c:pt>
                <c:pt idx="3">
                  <c:v>15</c:v>
                </c:pt>
                <c:pt idx="4">
                  <c:v>6</c:v>
                </c:pt>
                <c:pt idx="5">
                  <c:v>4</c:v>
                </c:pt>
                <c:pt idx="6">
                  <c:v>4</c:v>
                </c:pt>
                <c:pt idx="7">
                  <c:v>1</c:v>
                </c:pt>
                <c:pt idx="8">
                  <c:v>20</c:v>
                </c:pt>
                <c:pt idx="9">
                  <c:v>15</c:v>
                </c:pt>
                <c:pt idx="10">
                  <c:v>6</c:v>
                </c:pt>
                <c:pt idx="11">
                  <c:v>13</c:v>
                </c:pt>
                <c:pt idx="12">
                  <c:v>10</c:v>
                </c:pt>
                <c:pt idx="13">
                  <c:v>1</c:v>
                </c:pt>
                <c:pt idx="14">
                  <c:v>15</c:v>
                </c:pt>
                <c:pt idx="15">
                  <c:v>1</c:v>
                </c:pt>
                <c:pt idx="16">
                  <c:v>6</c:v>
                </c:pt>
                <c:pt idx="17">
                  <c:v>10</c:v>
                </c:pt>
                <c:pt idx="18">
                  <c:v>8</c:v>
                </c:pt>
                <c:pt idx="19">
                  <c:v>8</c:v>
                </c:pt>
                <c:pt idx="20">
                  <c:v>18</c:v>
                </c:pt>
                <c:pt idx="21">
                  <c:v>13</c:v>
                </c:pt>
                <c:pt idx="22">
                  <c:v>12</c:v>
                </c:pt>
                <c:pt idx="23">
                  <c:v>15</c:v>
                </c:pt>
                <c:pt idx="24">
                  <c:v>26</c:v>
                </c:pt>
                <c:pt idx="25">
                  <c:v>31</c:v>
                </c:pt>
                <c:pt idx="26">
                  <c:v>2</c:v>
                </c:pt>
                <c:pt idx="27">
                  <c:v>1</c:v>
                </c:pt>
                <c:pt idx="28">
                  <c:v>4</c:v>
                </c:pt>
                <c:pt idx="29">
                  <c:v>1</c:v>
                </c:pt>
                <c:pt idx="30">
                  <c:v>14</c:v>
                </c:pt>
                <c:pt idx="31">
                  <c:v>1</c:v>
                </c:pt>
                <c:pt idx="32">
                  <c:v>5</c:v>
                </c:pt>
                <c:pt idx="33">
                  <c:v>1</c:v>
                </c:pt>
                <c:pt idx="34">
                  <c:v>1</c:v>
                </c:pt>
                <c:pt idx="35">
                  <c:v>3</c:v>
                </c:pt>
                <c:pt idx="36">
                  <c:v>1</c:v>
                </c:pt>
                <c:pt idx="37">
                  <c:v>4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2</c:v>
                </c:pt>
                <c:pt idx="45">
                  <c:v>5</c:v>
                </c:pt>
                <c:pt idx="46">
                  <c:v>2</c:v>
                </c:pt>
                <c:pt idx="47">
                  <c:v>1</c:v>
                </c:pt>
                <c:pt idx="48">
                  <c:v>10</c:v>
                </c:pt>
                <c:pt idx="49">
                  <c:v>19</c:v>
                </c:pt>
                <c:pt idx="50">
                  <c:v>2</c:v>
                </c:pt>
                <c:pt idx="5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18-4444-B3B6-78744FD82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80376880"/>
        <c:axId val="1080388848"/>
      </c:barChart>
      <c:catAx>
        <c:axId val="1080376880"/>
        <c:scaling>
          <c:orientation val="maxMin"/>
        </c:scaling>
        <c:delete val="0"/>
        <c:axPos val="l"/>
        <c:majorGridlines>
          <c:spPr>
            <a:ln w="9525" cap="flat" cmpd="dbl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0388848"/>
        <c:crosses val="autoZero"/>
        <c:auto val="1"/>
        <c:lblAlgn val="ctr"/>
        <c:lblOffset val="100"/>
        <c:noMultiLvlLbl val="0"/>
      </c:catAx>
      <c:valAx>
        <c:axId val="1080388848"/>
        <c:scaling>
          <c:orientation val="minMax"/>
          <c:max val="44446"/>
          <c:min val="44007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d\-mmm\-yy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80376880"/>
        <c:crosses val="autoZero"/>
        <c:crossBetween val="between"/>
        <c:majorUnit val="30"/>
        <c:min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274320</xdr:colOff>
      <xdr:row>1</xdr:row>
      <xdr:rowOff>30480</xdr:rowOff>
    </xdr:from>
    <xdr:to>
      <xdr:col>16</xdr:col>
      <xdr:colOff>678180</xdr:colOff>
      <xdr:row>30</xdr:row>
      <xdr:rowOff>22860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4007.828589351855" createdVersion="5" refreshedVersion="5" minRefreshableVersion="3" recordCount="24" xr:uid="{00000000-000A-0000-FFFF-FFFF61000000}">
  <cacheSource type="worksheet">
    <worksheetSource name="listadeproveedores"/>
  </cacheSource>
  <cacheFields count="5">
    <cacheField name="cod" numFmtId="0">
      <sharedItems containsString="0" containsBlank="1" containsNumber="1" containsInteger="1" minValue="1" maxValue="23"/>
    </cacheField>
    <cacheField name=" PROVEEDORES" numFmtId="0">
      <sharedItems containsBlank="1"/>
    </cacheField>
    <cacheField name="DIRECCION " numFmtId="0">
      <sharedItems containsBlank="1"/>
    </cacheField>
    <cacheField name="TELEFONO " numFmtId="0">
      <sharedItems containsString="0" containsBlank="1" containsNumber="1" containsInteger="1" minValue="1114" maxValue="55552221"/>
    </cacheField>
    <cacheField name="CORREO 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4007.828589467594" createdVersion="5" refreshedVersion="5" minRefreshableVersion="3" recordCount="99" xr:uid="{00000000-000A-0000-FFFF-FFFF66000000}">
  <cacheSource type="worksheet">
    <worksheetSource name="INSUMOMATERIALES"/>
  </cacheSource>
  <cacheFields count="7">
    <cacheField name="COD" numFmtId="0">
      <sharedItems containsSemiMixedTypes="0" containsString="0" containsNumber="1" containsInteger="1" minValue="1" maxValue="99"/>
    </cacheField>
    <cacheField name="DESCRIPCION" numFmtId="0">
      <sharedItems count="99">
        <s v="ACCESORIOS 5/8&quot;"/>
        <s v="ACCESORIOS F.G. D=1/2&quot; IND. ARGEN."/>
        <s v="ACCESORIOS PARA AUDIO"/>
        <s v="ACCESORIOS PARA INSTALACION SANITARIA"/>
        <s v="ACCESORIOS PVC 2&quot; ESQ 40"/>
        <s v="AGUARRAS"/>
        <s v="ALAMBRE DE AMARRE"/>
        <s v="ALAMBRE TEJIDO"/>
        <s v="ALQUITRAN"/>
        <s v="ARENA COMUN"/>
        <s v="ARENA FINA"/>
        <s v="BISAGRA DE 4&quot;"/>
        <s v="CABLE AISLADO MONOPOLAR # 10"/>
        <s v="CABLE AWG N14"/>
        <s v="CABLE CU PARA TELEFONO 2X22"/>
        <s v="CABLE DE CU AWG 20 TW"/>
        <s v="CAJA PLASTICA CIRCULAR"/>
        <s v="CAJA PLASTICA RECTANGULAR"/>
        <s v="CAJA PLASTICA"/>
        <s v="CAL"/>
        <s v="CALAMINA ONDULADA # 28"/>
        <s v="CALAMINA PLANA # 26"/>
        <s v="CALAMINA PLANA # 28"/>
        <s v="CARTON ASFALTICO"/>
        <s v="CEMENTO BLANCO IMPORTADO"/>
        <s v="CEMENTO BLANCO"/>
        <s v="CEMENTO COLA"/>
        <s v="CEMENTO PORTLAND VIACHA"/>
        <s v="CEMENTO PORTLAND"/>
        <s v="CERAMICA ESMALTADA NAL. 20*30"/>
        <s v="CHICOTILLO METALICO (45 CM.)"/>
        <s v="CHICOTILLO"/>
        <s v="CINTA AISLANTE"/>
        <s v="CLAVOS PARA CALAMINA"/>
        <s v="CLAVOS"/>
        <s v="COLA FRESCA"/>
        <s v="ESTUCO BEDOYA"/>
        <s v="ESTUCO PACEÑO"/>
        <s v="ESTUCO PANDO"/>
        <s v="FIERRO CORRUGADO"/>
        <s v="FOCO DE 100 WT."/>
        <s v="GRAVA COMUN"/>
        <s v="GRAVA"/>
        <s v="GRIFERIA PARA LAVANDERIA"/>
        <s v="INODORO BLANCO TANQUE BAJO C/ACC."/>
        <s v="KEROSENE"/>
        <s v="LADRILLO 6 HUECOS (24*15*11)"/>
        <s v="LADRILLO DE 6 H. (24*18*12)"/>
        <s v="LADRILLO GAMBOTE (24*11*6)"/>
        <s v="LAVAMANOS +ACCESORIOS+GRIFERIA COLOR BLANCO"/>
        <s v="LAVAPLATOS 2 DEPOSITOS - 1 FREGADERO"/>
        <s v="LIJA P/PARED"/>
        <s v="LIJA PARED"/>
        <s v="LIMPIADOR PVC"/>
        <s v="LISTONES (2*2)"/>
        <s v="LLAVE DE PASO DE ½&quot;"/>
        <s v="LUNIMARIA FLUORESCENTE 1*20W"/>
        <s v="MADERA DE ENCOFRADO DURA"/>
        <s v="MADERA DE ENCOFRADO"/>
        <s v="MEZCLADORA P/DUCHA"/>
        <s v="PAJA"/>
        <s v="PARKET TAJIBO"/>
        <s v="PARKETEX P/PARKET"/>
        <s v="PEGAMENTO DE PVC"/>
        <s v="PEGAMENTO PARA PVC"/>
        <s v="PERFIL DE ALUMINIO"/>
        <s v="PICAPORTE PICO DE LORO"/>
        <s v="PIEDRA MANZANA"/>
        <s v="PIEDRA PARA CIMIENTOS"/>
        <s v="PINTURA AL ACEITE MATE MONOPOL"/>
        <s v="PINTURA ANTICORROSIVA"/>
        <s v="PINTURA LATEX EXTERIOR"/>
        <s v="PINTURA LATEX INT."/>
        <s v="PLACA TELEFONO"/>
        <s v="PLATINO DE 3/4 X 1/8"/>
        <s v="PUERTA DE MADERA ROBLE"/>
        <s v="PUERTA MADERA"/>
        <s v="SELLADOR P/PARED"/>
        <s v="SELLADOR PARA PARED"/>
        <s v="SILICONA"/>
        <s v="SOLDADURA P/CALAMINA"/>
        <s v="SOLDADURA"/>
        <s v="SOQUETE  METALICO CON ALMA DE PORCELANA"/>
        <s v="TACOS PLASTICOS"/>
        <s v="TEFLON"/>
        <s v="TIMBRE ELECTRICO"/>
        <s v="TORNILLA DE ENCARNE DE 2"/>
        <s v="TORNILLO PARA MADERA"/>
        <s v="TUBERIA DE PVC 2&quot; ESQ 40"/>
        <s v="TUBERIA F.G. D=½&quot;"/>
        <s v="TUBO BERGMAN"/>
        <s v="TUBO BERMAN DE 3/4&quot;"/>
        <s v="TUBO CONDUIT PVC 5/8"/>
        <s v="TUBO CONDUIT PVC 5/8&quot;"/>
        <s v="TUVERIA DE PVC DE 4 E=40"/>
        <s v="VARIOS INST. DE FAENAS (NACIONALES)"/>
        <s v="VIDRIO DE 4MM."/>
        <s v="VIGUETAS Y PLASTOFOR"/>
        <s v="ZOCALO MARA DE 3&quot;"/>
      </sharedItems>
    </cacheField>
    <cacheField name="UNID" numFmtId="0">
      <sharedItems count="16">
        <s v="juego"/>
        <s v="pza"/>
        <s v="glb"/>
        <s v="lt"/>
        <s v="kg"/>
        <s v="m²"/>
        <s v="m³"/>
        <s v="m"/>
        <s v="rollo"/>
        <s v="l"/>
        <s v="hoja"/>
        <s v="grm"/>
        <s v="pie²"/>
        <s v="galón"/>
        <s v="pomo"/>
        <s v="roll"/>
      </sharedItems>
    </cacheField>
    <cacheField name="PRECIO UNITARIO " numFmtId="0">
      <sharedItems containsSemiMixedTypes="0" containsString="0" containsNumber="1" minValue="0.1" maxValue="574.29999999999995"/>
    </cacheField>
    <cacheField name="FECHA" numFmtId="14">
      <sharedItems containsSemiMixedTypes="0" containsNonDate="0" containsDate="1" containsString="0" minDate="2020-05-02T00:00:00" maxDate="2020-05-03T00:00:00"/>
    </cacheField>
    <cacheField name="GRUPO " numFmtId="0">
      <sharedItems containsBlank="1"/>
    </cacheField>
    <cacheField name="PROVEEDORES" numFmtId="0">
      <sharedItems containsBlank="1" count="10">
        <m/>
        <s v="Barraca San Pedro "/>
        <s v="Ferreteria Lucas"/>
        <s v="Señora Camila "/>
        <s v="Emisa"/>
        <s v="Ferreteria Obrajes "/>
        <s v="Volqueta Demetrio"/>
        <s v="Volqueta Primo "/>
        <s v="Barraca Roma "/>
        <s v="Distribuidora Monopol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4007.829334722221" backgroundQuery="1" createdVersion="5" refreshedVersion="5" minRefreshableVersion="3" recordCount="0" supportSubquery="1" supportAdvancedDrill="1" xr:uid="{00000000-000A-0000-FFFF-FFFF7E000000}">
  <cacheSource type="external" connectionId="1"/>
  <cacheFields count="7">
    <cacheField name="[InsumoMateriales].[DESCRIPCION].[DESCRIPCION]" caption="DESCRIPCION" numFmtId="0" hierarchy="1" level="1">
      <sharedItems count="99">
        <s v="ACCESORIOS 5/8&quot;"/>
        <s v="CAJA PLASTICA"/>
        <s v="CAJA PLASTICA RECTANGULAR"/>
        <s v="CAL"/>
        <s v="CALAMINA ONDULADA # 28"/>
        <s v="CALAMINA PLANA # 26"/>
        <s v="CALAMINA PLANA # 28"/>
        <s v="CARTON ASFALTICO"/>
        <s v="CEMENTO BLANCO"/>
        <s v="CEMENTO BLANCO IMPORTADO"/>
        <s v="CEMENTO COLA"/>
        <s v="CEMENTO PORTLAND"/>
        <s v="CEMENTO PORTLAND VIACHA"/>
        <s v="CERAMICA ESMALTADA NAL. 20*30"/>
        <s v="CHICOTILLO"/>
        <s v="CHICOTILLO METALICO (45 CM.)"/>
        <s v="CINTA AISLANTE"/>
        <s v="CLAVOS"/>
        <s v="CLAVOS PARA CALAMINA"/>
        <s v="COLA FRESCA"/>
        <s v="ESTUCO BEDOYA"/>
        <s v="ESTUCO PACEÑO"/>
        <s v="ESTUCO PANDO"/>
        <s v="FIERRO CORRUGADO"/>
        <s v="FOCO DE 100 WT."/>
        <s v="GRAVA"/>
        <s v="GRAVA COMUN"/>
        <s v="GRIFERIA PARA LAVANDERIA"/>
        <s v="INODORO BLANCO TANQUE BAJO C/ACC."/>
        <s v="KEROSENE"/>
        <s v="LADRILLO 6 HUECOS (24*15*11)"/>
        <s v="LADRILLO DE 6 H. (24*18*12)"/>
        <s v="LADRILLO GAMBOTE (24*11*6)"/>
        <s v="LAVAMANOS +ACCESORIOS+GRIFERIA COLOR BLANCO"/>
        <s v="LAVAPLATOS 2 DEPOSITOS - 1 FREGADERO"/>
        <s v="LIJA P/PARED"/>
        <s v="LIJA PARED"/>
        <s v="LIMPIADOR PVC"/>
        <s v="LISTONES (2*2)"/>
        <s v="LLAVE DE PASO DE ½&quot;"/>
        <s v="LUNIMARIA FLUORESCENTE 1*20W"/>
        <s v="MADERA DE ENCOFRADO"/>
        <s v="MADERA DE ENCOFRADO DURA"/>
        <s v="MEZCLADORA P/DUCHA"/>
        <s v="PAJA"/>
        <s v="PARKET TAJIBO"/>
        <s v="PARKETEX P/PARKET"/>
        <s v="PEGAMENTO DE PVC"/>
        <s v="PEGAMENTO PARA PVC"/>
        <s v="PERFIL DE ALUMINIO"/>
        <s v="PICAPORTE PICO DE LORO"/>
        <s v="PIEDRA MANZANA"/>
        <s v="PIEDRA PARA CIMIENTOS"/>
        <s v="PINTURA AL ACEITE MATE MONOPOL"/>
        <s v="PINTURA ANTICORROSIVA"/>
        <s v="PINTURA LATEX EXTERIOR"/>
        <s v="PINTURA LATEX INT."/>
        <s v="PLACA TELEFONO"/>
        <s v="PLATINO DE 3/4 X 1/8"/>
        <s v="PUERTA DE MADERA ROBLE"/>
        <s v="PUERTA MADERA"/>
        <s v="SELLADOR P/PARED"/>
        <s v="SELLADOR PARA PARED"/>
        <s v="SILICONA"/>
        <s v="SOLDADURA"/>
        <s v="SOLDADURA P/CALAMINA"/>
        <s v="SOQUETE  METALICO CON ALMA DE PORCELANA"/>
        <s v="TACOS PLASTICOS"/>
        <s v="TEFLON"/>
        <s v="TIMBRE ELECTRICO"/>
        <s v="TORNILLA DE ENCARNE DE 2"/>
        <s v="TORNILLO PARA MADERA"/>
        <s v="TUBERIA DE PVC 2&quot; ESQ 40"/>
        <s v="TUBERIA F.G. D=½&quot;"/>
        <s v="TUBO BERGMAN"/>
        <s v="TUBO BERMAN DE 3/4&quot;"/>
        <s v="TUBO CONDUIT PVC 5/8"/>
        <s v="TUBO CONDUIT PVC 5/8&quot;"/>
        <s v="TUVERIA DE PVC DE 4 E=40"/>
        <s v="VARIOS INST. DE FAENAS (NACIONALES)"/>
        <s v="VIDRIO DE 4MM."/>
        <s v="VIGUETAS Y PLASTOFOR"/>
        <s v="ZOCALO MARA DE 3&quot;"/>
        <s v="CABLE AISLADO MONOPOLAR # 10"/>
        <s v="CABLE AWG N14"/>
        <s v="ACCESORIOS F.G. D=1/2&quot; IND. ARGEN."/>
        <s v="CABLE DE CU AWG 20 TW"/>
        <s v="CAJA PLASTICA CIRCULAR"/>
        <s v="AGUARRAS"/>
        <s v="ACCESORIOS PARA AUDIO"/>
        <s v="ACCESORIOS PVC 2&quot; ESQ 40"/>
        <s v="ALAMBRE DE AMARRE"/>
        <s v="CABLE CU PARA TELEFONO 2X22"/>
        <s v="ACCESORIOS PARA INSTALACION SANITARIA"/>
        <s v="ALAMBRE TEJIDO"/>
        <s v="ARENA FINA"/>
        <s v="BISAGRA DE 4&quot;"/>
        <s v="ALQUITRAN"/>
        <s v="ARENA COMUN"/>
      </sharedItems>
    </cacheField>
    <cacheField name="[InsumoMateriales].[PROVEEDORES].[PROVEEDORES]" caption="PROVEEDORES" numFmtId="0" hierarchy="6" level="1">
      <sharedItems containsBlank="1" count="10">
        <m/>
        <s v="Barraca Roma"/>
        <s v="Barraca San Pedro"/>
        <s v="Distribuidora Monopol"/>
        <s v="Emisa"/>
        <s v="Ferreteria Lucas"/>
        <s v="Ferreteria Obrajes"/>
        <s v="Señora Camila"/>
        <s v="Volqueta Demetrio"/>
        <s v="Volqueta Primo"/>
      </sharedItems>
    </cacheField>
    <cacheField name="[Tabla4].[cod].[cod]" caption="cod" numFmtId="0" hierarchy="12" level="1">
      <sharedItems containsSemiMixedTypes="0" containsNonDate="0" containsString="0"/>
    </cacheField>
    <cacheField name="[Tabla4].[DIRECCION].[DIRECCION]" caption="DIRECCION" numFmtId="0" hierarchy="14" level="1">
      <sharedItems count="1">
        <s v="OBRAJES"/>
      </sharedItems>
    </cacheField>
    <cacheField name="[Measures].[Suma de PRECIO UNITARIO]" caption="Suma de PRECIO UNITARIO" numFmtId="0" hierarchy="17" level="32767"/>
    <cacheField name="[Tabla4].[PROVEEDORES].[PROVEEDORES]" caption="PROVEEDORES" numFmtId="0" hierarchy="13" level="1">
      <sharedItems containsSemiMixedTypes="0" containsNonDate="0" containsString="0"/>
    </cacheField>
    <cacheField name="[Tabla4].[TELEFONO].[TELEFONO]" caption="TELEFONO" numFmtId="0" hierarchy="15" level="1">
      <sharedItems containsSemiMixedTypes="0" containsString="0" containsNumber="1" containsInteger="1" minValue="711552" maxValue="711552" count="1">
        <n v="711552"/>
      </sharedItems>
      <extLst>
        <ext xmlns:x15="http://schemas.microsoft.com/office/spreadsheetml/2010/11/main" uri="{4F2E5C28-24EA-4eb8-9CBF-B6C8F9C3D259}">
          <x15:cachedUniqueNames>
            <x15:cachedUniqueName index="0" name="[Tabla4].[TELEFONO].&amp;[711552]"/>
          </x15:cachedUniqueNames>
        </ext>
      </extLst>
    </cacheField>
  </cacheFields>
  <cacheHierarchies count="27">
    <cacheHierarchy uniqueName="[InsumoMateriales].[COD]" caption="COD" attribute="1" defaultMemberUniqueName="[InsumoMateriales].[COD].[All]" allUniqueName="[InsumoMateriales].[COD].[All]" dimensionUniqueName="[InsumoMateriales]" displayFolder="" count="0" memberValueDatatype="20" unbalanced="0"/>
    <cacheHierarchy uniqueName="[InsumoMateriales].[DESCRIPCION]" caption="DESCRIPCION" attribute="1" defaultMemberUniqueName="[InsumoMateriales].[DESCRIPCION].[All]" allUniqueName="[InsumoMateriales].[DESCRIPCION].[All]" dimensionUniqueName="[InsumoMateriales]" displayFolder="" count="2" memberValueDatatype="130" unbalanced="0">
      <fieldsUsage count="2">
        <fieldUsage x="-1"/>
        <fieldUsage x="0"/>
      </fieldsUsage>
    </cacheHierarchy>
    <cacheHierarchy uniqueName="[InsumoMateriales].[UNID]" caption="UNID" attribute="1" defaultMemberUniqueName="[InsumoMateriales].[UNID].[All]" allUniqueName="[InsumoMateriales].[UNID].[All]" dimensionUniqueName="[InsumoMateriales]" displayFolder="" count="0" memberValueDatatype="130" unbalanced="0"/>
    <cacheHierarchy uniqueName="[InsumoMateriales].[PRECIO UNITARIO]" caption="PRECIO UNITARIO" attribute="1" defaultMemberUniqueName="[InsumoMateriales].[PRECIO UNITARIO].[All]" allUniqueName="[InsumoMateriales].[PRECIO UNITARIO].[All]" dimensionUniqueName="[InsumoMateriales]" displayFolder="" count="0" memberValueDatatype="5" unbalanced="0"/>
    <cacheHierarchy uniqueName="[InsumoMateriales].[FECHA]" caption="FECHA" attribute="1" time="1" defaultMemberUniqueName="[InsumoMateriales].[FECHA].[All]" allUniqueName="[InsumoMateriales].[FECHA].[All]" dimensionUniqueName="[InsumoMateriales]" displayFolder="" count="0" memberValueDatatype="7" unbalanced="0"/>
    <cacheHierarchy uniqueName="[InsumoMateriales].[GRUPO]" caption="GRUPO" attribute="1" defaultMemberUniqueName="[InsumoMateriales].[GRUPO].[All]" allUniqueName="[InsumoMateriales].[GRUPO].[All]" dimensionUniqueName="[InsumoMateriales]" displayFolder="" count="0" memberValueDatatype="130" unbalanced="0"/>
    <cacheHierarchy uniqueName="[InsumoMateriales].[PROVEEDORES]" caption="PROVEEDORES" attribute="1" defaultMemberUniqueName="[InsumoMateriales].[PROVEEDORES].[All]" allUniqueName="[InsumoMateriales].[PROVEEDORES].[All]" dimensionUniqueName="[InsumoMateriales]" displayFolder="" count="2" memberValueDatatype="130" unbalanced="0">
      <fieldsUsage count="2">
        <fieldUsage x="-1"/>
        <fieldUsage x="1"/>
      </fieldsUsage>
    </cacheHierarchy>
    <cacheHierarchy uniqueName="[listadeproveedores].[cod]" caption="cod" attribute="1" defaultMemberUniqueName="[listadeproveedores].[cod].[All]" allUniqueName="[listadeproveedores].[cod].[All]" dimensionUniqueName="[listadeproveedores]" displayFolder="" count="0" memberValueDatatype="20" unbalanced="0"/>
    <cacheHierarchy uniqueName="[listadeproveedores].[PROVEEDORES]" caption="PROVEEDORES" attribute="1" defaultMemberUniqueName="[listadeproveedores].[PROVEEDORES].[All]" allUniqueName="[listadeproveedores].[PROVEEDORES].[All]" dimensionUniqueName="[listadeproveedores]" displayFolder="" count="0" memberValueDatatype="130" unbalanced="0"/>
    <cacheHierarchy uniqueName="[listadeproveedores].[DIRECCION]" caption="DIRECCION" attribute="1" defaultMemberUniqueName="[listadeproveedores].[DIRECCION].[All]" allUniqueName="[listadeproveedores].[DIRECCION].[All]" dimensionUniqueName="[listadeproveedores]" displayFolder="" count="0" memberValueDatatype="130" unbalanced="0"/>
    <cacheHierarchy uniqueName="[listadeproveedores].[TELEFONO]" caption="TELEFONO" attribute="1" defaultMemberUniqueName="[listadeproveedores].[TELEFONO].[All]" allUniqueName="[listadeproveedores].[TELEFONO].[All]" dimensionUniqueName="[listadeproveedores]" displayFolder="" count="0" memberValueDatatype="20" unbalanced="0"/>
    <cacheHierarchy uniqueName="[listadeproveedores].[CORREO]" caption="CORREO" attribute="1" defaultMemberUniqueName="[listadeproveedores].[CORREO].[All]" allUniqueName="[listadeproveedores].[CORREO].[All]" dimensionUniqueName="[listadeproveedores]" displayFolder="" count="0" memberValueDatatype="130" unbalanced="0"/>
    <cacheHierarchy uniqueName="[Tabla4].[cod]" caption="cod" attribute="1" defaultMemberUniqueName="[Tabla4].[cod].[All]" allUniqueName="[Tabla4].[cod].[All]" dimensionUniqueName="[Tabla4]" displayFolder="" count="2" memberValueDatatype="20" unbalanced="0">
      <fieldsUsage count="2">
        <fieldUsage x="-1"/>
        <fieldUsage x="2"/>
      </fieldsUsage>
    </cacheHierarchy>
    <cacheHierarchy uniqueName="[Tabla4].[PROVEEDORES]" caption="PROVEEDORES" attribute="1" defaultMemberUniqueName="[Tabla4].[PROVEEDORES].[All]" allUniqueName="[Tabla4].[PROVEEDORES].[All]" dimensionUniqueName="[Tabla4]" displayFolder="" count="2" memberValueDatatype="130" unbalanced="0">
      <fieldsUsage count="2">
        <fieldUsage x="-1"/>
        <fieldUsage x="5"/>
      </fieldsUsage>
    </cacheHierarchy>
    <cacheHierarchy uniqueName="[Tabla4].[DIRECCION]" caption="DIRECCION" attribute="1" defaultMemberUniqueName="[Tabla4].[DIRECCION].[All]" allUniqueName="[Tabla4].[DIRECCION].[All]" dimensionUniqueName="[Tabla4]" displayFolder="" count="2" memberValueDatatype="130" unbalanced="0">
      <fieldsUsage count="2">
        <fieldUsage x="-1"/>
        <fieldUsage x="3"/>
      </fieldsUsage>
    </cacheHierarchy>
    <cacheHierarchy uniqueName="[Tabla4].[TELEFONO]" caption="TELEFONO" attribute="1" defaultMemberUniqueName="[Tabla4].[TELEFONO].[All]" allUniqueName="[Tabla4].[TELEFONO].[All]" dimensionUniqueName="[Tabla4]" displayFolder="" count="2" memberValueDatatype="20" unbalanced="0">
      <fieldsUsage count="2">
        <fieldUsage x="-1"/>
        <fieldUsage x="6"/>
      </fieldsUsage>
    </cacheHierarchy>
    <cacheHierarchy uniqueName="[Tabla4].[CORREO]" caption="CORREO" attribute="1" defaultMemberUniqueName="[Tabla4].[CORREO].[All]" allUniqueName="[Tabla4].[CORREO].[All]" dimensionUniqueName="[Tabla4]" displayFolder="" count="0" memberValueDatatype="130" unbalanced="0"/>
    <cacheHierarchy uniqueName="[Measures].[Suma de PRECIO UNITARIO]" caption="Suma de PRECIO UNITARIO" measure="1" displayFolder="" measureGroup="InsumoMateriales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PROVEEDORES]" caption="Recuento de PROVEEDORES" measure="1" displayFolder="" measureGroup="listadeproveedores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DIRECCION]" caption="Recuento de DIRECCION" measure="1" displayFolder="" measureGroup="listadeproveedore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Recuento de PROVEEDORES 2]" caption="Recuento de PROVEEDORES 2" measure="1" displayFolder="" measureGroup="Tabla4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TELEFONO]" caption="Suma de TELEFONO" measure="1" displayFolder="" measureGroup="Tabla4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DIRECCION 2]" caption="Recuento de DIRECCION 2" measure="1" displayFolder="" measureGroup="Tabla4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__XL_Count listadeproveedores]" caption="__XL_Count listadeproveedores" measure="1" displayFolder="" measureGroup="listadeproveedores" count="0" hidden="1"/>
    <cacheHierarchy uniqueName="[Measures].[__XL_Count InsumoMateriales]" caption="__XL_Count InsumoMateriales" measure="1" displayFolder="" measureGroup="InsumoMateriales" count="0" hidden="1"/>
    <cacheHierarchy uniqueName="[Measures].[__XL_Count Tabla4]" caption="__XL_Count Tabla4" measure="1" displayFolder="" measureGroup="Tabla4" count="0" hidden="1"/>
    <cacheHierarchy uniqueName="[Measures].[__XL_Count of Models]" caption="__XL_Count of Models" measure="1" displayFolder="" count="0" hidden="1"/>
  </cacheHierarchies>
  <kpis count="0"/>
  <dimensions count="4">
    <dimension name="InsumoMateriales" uniqueName="[InsumoMateriales]" caption="InsumoMateriales"/>
    <dimension name="listadeproveedores" uniqueName="[listadeproveedores]" caption="listadeproveedores"/>
    <dimension measure="1" name="Measures" uniqueName="[Measures]" caption="Measures"/>
    <dimension name="Tabla4" uniqueName="[Tabla4]" caption="Tabla4"/>
  </dimensions>
  <measureGroups count="3">
    <measureGroup name="InsumoMateriales" caption="InsumoMateriales"/>
    <measureGroup name="listadeproveedores" caption="listadeproveedores"/>
    <measureGroup name="Tabla4" caption="Tabla4"/>
  </measureGroups>
  <maps count="3">
    <map measureGroup="0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n v="1"/>
    <s v="Barraca San Pedro "/>
    <s v="OBRAJES "/>
    <n v="711552"/>
    <s v="barraca@gmail.com"/>
  </r>
  <r>
    <n v="2"/>
    <s v="Volqueta Primo "/>
    <s v="llojeta "/>
    <n v="125222"/>
    <m/>
  </r>
  <r>
    <n v="3"/>
    <s v="Volqueta Primo "/>
    <s v="llojeta "/>
    <n v="55552221"/>
    <m/>
  </r>
  <r>
    <n v="4"/>
    <s v="Volqueta Demetrio"/>
    <s v="llojeta "/>
    <n v="121255"/>
    <m/>
  </r>
  <r>
    <n v="5"/>
    <s v="Volqueta Demetrio"/>
    <s v="llojeta "/>
    <n v="111452"/>
    <m/>
  </r>
  <r>
    <n v="6"/>
    <s v="Barraca Roma "/>
    <s v="SUD "/>
    <n v="1155"/>
    <m/>
  </r>
  <r>
    <n v="7"/>
    <s v="Barraca Roma "/>
    <m/>
    <n v="55221"/>
    <m/>
  </r>
  <r>
    <n v="8"/>
    <s v="Ferreteria Obrajes "/>
    <s v="OBRAJES "/>
    <n v="254110"/>
    <m/>
  </r>
  <r>
    <n v="9"/>
    <s v="Distribuidora Monopol "/>
    <s v="ACHUMANI "/>
    <n v="111444"/>
    <m/>
  </r>
  <r>
    <n v="10"/>
    <s v="Distribuidora Monopol "/>
    <s v="ACHUMANI "/>
    <n v="44522"/>
    <m/>
  </r>
  <r>
    <n v="11"/>
    <s v="Ferreterias San Juan "/>
    <s v="La Paz"/>
    <n v="165461"/>
    <m/>
  </r>
  <r>
    <n v="12"/>
    <s v="Barraca Aranjuez "/>
    <s v="Mallasa"/>
    <n v="36523"/>
    <m/>
  </r>
  <r>
    <n v="13"/>
    <s v="Ferreteria Lucas"/>
    <s v="SOPOCACHI "/>
    <n v="96322"/>
    <m/>
  </r>
  <r>
    <n v="14"/>
    <s v="Señora Camila "/>
    <s v="ACHUMANI "/>
    <n v="225622"/>
    <m/>
  </r>
  <r>
    <n v="15"/>
    <s v="Ferreteria Lucas"/>
    <s v="SOPOCACHI "/>
    <n v="525562"/>
    <m/>
  </r>
  <r>
    <n v="16"/>
    <s v="Emisa"/>
    <s v="CENTRO "/>
    <n v="25550"/>
    <s v="emisa@hotmail.com"/>
  </r>
  <r>
    <n v="17"/>
    <s v="Ferreteria Obrajes "/>
    <s v="OBRAJES "/>
    <n v="115522"/>
    <m/>
  </r>
  <r>
    <n v="18"/>
    <s v="Volqueta Demetrio"/>
    <s v="llojeta "/>
    <n v="14552"/>
    <m/>
  </r>
  <r>
    <n v="19"/>
    <s v="Volqueta Demetrio"/>
    <s v="llojeta "/>
    <n v="111452"/>
    <m/>
  </r>
  <r>
    <n v="20"/>
    <s v="Barraca Roma "/>
    <s v="SUD "/>
    <n v="1155"/>
    <m/>
  </r>
  <r>
    <n v="21"/>
    <s v="Barraca Roma "/>
    <m/>
    <n v="1114"/>
    <m/>
  </r>
  <r>
    <n v="22"/>
    <s v="Ferreteria Obrajes "/>
    <s v="OBRAJES "/>
    <n v="1111552"/>
    <m/>
  </r>
  <r>
    <n v="23"/>
    <s v="Distribuidora Monopol "/>
    <s v="ACHUMANI "/>
    <n v="111444"/>
    <m/>
  </r>
  <r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9">
  <r>
    <n v="1"/>
    <x v="0"/>
    <x v="0"/>
    <n v="2.75"/>
    <d v="2020-05-02T00:00:00"/>
    <s v="ACCESORIOS ELECTRICO "/>
    <x v="0"/>
  </r>
  <r>
    <n v="2"/>
    <x v="1"/>
    <x v="1"/>
    <n v="5.8"/>
    <d v="2020-05-02T00:00:00"/>
    <s v="ACCESORIOS"/>
    <x v="1"/>
  </r>
  <r>
    <n v="3"/>
    <x v="2"/>
    <x v="0"/>
    <n v="61.6"/>
    <d v="2020-05-02T00:00:00"/>
    <s v="ACCESORIOS"/>
    <x v="2"/>
  </r>
  <r>
    <n v="4"/>
    <x v="3"/>
    <x v="2"/>
    <n v="23"/>
    <d v="2020-05-02T00:00:00"/>
    <s v="ACCESORIOS SANITARIOS "/>
    <x v="3"/>
  </r>
  <r>
    <n v="5"/>
    <x v="4"/>
    <x v="2"/>
    <n v="28.1"/>
    <d v="2020-05-02T00:00:00"/>
    <s v="ACCESORIOS PVC"/>
    <x v="2"/>
  </r>
  <r>
    <n v="6"/>
    <x v="5"/>
    <x v="3"/>
    <n v="11.78"/>
    <d v="2020-05-02T00:00:00"/>
    <m/>
    <x v="4"/>
  </r>
  <r>
    <n v="7"/>
    <x v="6"/>
    <x v="4"/>
    <n v="6.8"/>
    <d v="2020-05-02T00:00:00"/>
    <s v="ALAMBRE"/>
    <x v="5"/>
  </r>
  <r>
    <n v="8"/>
    <x v="7"/>
    <x v="5"/>
    <n v="3"/>
    <d v="2020-05-02T00:00:00"/>
    <s v="ALAMBRE"/>
    <x v="6"/>
  </r>
  <r>
    <n v="9"/>
    <x v="8"/>
    <x v="4"/>
    <n v="13.8"/>
    <d v="2020-05-02T00:00:00"/>
    <m/>
    <x v="7"/>
  </r>
  <r>
    <n v="10"/>
    <x v="9"/>
    <x v="6"/>
    <n v="60"/>
    <d v="2020-05-02T00:00:00"/>
    <s v="AGREGADOS "/>
    <x v="7"/>
  </r>
  <r>
    <n v="11"/>
    <x v="10"/>
    <x v="6"/>
    <n v="71.099999999999994"/>
    <d v="2020-05-02T00:00:00"/>
    <s v="AGREGADOS "/>
    <x v="6"/>
  </r>
  <r>
    <n v="12"/>
    <x v="11"/>
    <x v="1"/>
    <n v="5.6"/>
    <d v="2020-05-02T00:00:00"/>
    <s v="QUINCALLERIA"/>
    <x v="6"/>
  </r>
  <r>
    <n v="13"/>
    <x v="12"/>
    <x v="7"/>
    <n v="1.9"/>
    <d v="2020-05-02T00:00:00"/>
    <s v="INSTALACION ELECTRICA"/>
    <x v="8"/>
  </r>
  <r>
    <n v="14"/>
    <x v="13"/>
    <x v="7"/>
    <n v="5.8"/>
    <d v="2020-05-02T00:00:00"/>
    <s v="INSTALACION ELECTRICA"/>
    <x v="8"/>
  </r>
  <r>
    <n v="15"/>
    <x v="14"/>
    <x v="7"/>
    <n v="1.21"/>
    <d v="2020-05-02T00:00:00"/>
    <s v="INSTALACION ELECTRICA"/>
    <x v="5"/>
  </r>
  <r>
    <n v="16"/>
    <x v="15"/>
    <x v="7"/>
    <n v="1.76"/>
    <d v="2020-05-02T00:00:00"/>
    <s v="INSTALACION ELECTRICA"/>
    <x v="9"/>
  </r>
  <r>
    <n v="17"/>
    <x v="16"/>
    <x v="1"/>
    <n v="5.72"/>
    <d v="2020-05-02T00:00:00"/>
    <s v="INSTALACION ELECTRICA"/>
    <x v="9"/>
  </r>
  <r>
    <n v="18"/>
    <x v="17"/>
    <x v="1"/>
    <n v="5.39"/>
    <d v="2020-05-02T00:00:00"/>
    <s v="INSTALACION ELECTRICA"/>
    <x v="0"/>
  </r>
  <r>
    <n v="19"/>
    <x v="18"/>
    <x v="1"/>
    <n v="1.1000000000000001"/>
    <d v="2020-05-02T00:00:00"/>
    <s v="INSTALACION ELECTRICA"/>
    <x v="0"/>
  </r>
  <r>
    <n v="20"/>
    <x v="19"/>
    <x v="4"/>
    <n v="0.4"/>
    <d v="2020-05-02T00:00:00"/>
    <m/>
    <x v="0"/>
  </r>
  <r>
    <n v="21"/>
    <x v="20"/>
    <x v="5"/>
    <n v="50.2"/>
    <d v="2020-05-02T00:00:00"/>
    <s v="CALAMINA"/>
    <x v="0"/>
  </r>
  <r>
    <n v="22"/>
    <x v="21"/>
    <x v="5"/>
    <n v="25.2"/>
    <d v="2020-05-02T00:00:00"/>
    <s v="CALAMINA"/>
    <x v="0"/>
  </r>
  <r>
    <n v="23"/>
    <x v="22"/>
    <x v="5"/>
    <n v="26.4"/>
    <d v="2020-05-02T00:00:00"/>
    <s v="CALAMINA"/>
    <x v="0"/>
  </r>
  <r>
    <n v="24"/>
    <x v="23"/>
    <x v="5"/>
    <n v="28.8"/>
    <d v="2020-05-02T00:00:00"/>
    <m/>
    <x v="0"/>
  </r>
  <r>
    <n v="25"/>
    <x v="24"/>
    <x v="4"/>
    <n v="0.9"/>
    <d v="2020-05-02T00:00:00"/>
    <s v="CEMENTO"/>
    <x v="0"/>
  </r>
  <r>
    <n v="26"/>
    <x v="25"/>
    <x v="4"/>
    <n v="3.7"/>
    <d v="2020-05-02T00:00:00"/>
    <s v="CEMENTO"/>
    <x v="0"/>
  </r>
  <r>
    <n v="27"/>
    <x v="26"/>
    <x v="4"/>
    <n v="1.1000000000000001"/>
    <d v="2020-05-02T00:00:00"/>
    <s v="CEMENTO"/>
    <x v="0"/>
  </r>
  <r>
    <n v="28"/>
    <x v="27"/>
    <x v="4"/>
    <n v="1.06"/>
    <d v="2020-05-02T00:00:00"/>
    <s v="CEMENTO"/>
    <x v="0"/>
  </r>
  <r>
    <n v="29"/>
    <x v="28"/>
    <x v="4"/>
    <n v="1"/>
    <d v="2020-05-02T00:00:00"/>
    <s v="CEMENTO"/>
    <x v="0"/>
  </r>
  <r>
    <n v="30"/>
    <x v="29"/>
    <x v="5"/>
    <n v="54"/>
    <d v="2020-05-02T00:00:00"/>
    <s v="CERAMICA"/>
    <x v="0"/>
  </r>
  <r>
    <n v="31"/>
    <x v="30"/>
    <x v="1"/>
    <n v="3.6"/>
    <d v="2020-05-02T00:00:00"/>
    <s v="CHICOTILLO"/>
    <x v="0"/>
  </r>
  <r>
    <n v="32"/>
    <x v="31"/>
    <x v="1"/>
    <n v="19.5"/>
    <d v="2020-05-02T00:00:00"/>
    <s v="CHICOTILLO"/>
    <x v="0"/>
  </r>
  <r>
    <n v="33"/>
    <x v="32"/>
    <x v="8"/>
    <n v="3.7"/>
    <d v="2020-05-02T00:00:00"/>
    <s v="CINTA"/>
    <x v="0"/>
  </r>
  <r>
    <n v="34"/>
    <x v="33"/>
    <x v="4"/>
    <n v="13.8"/>
    <d v="2020-05-02T00:00:00"/>
    <s v="CLAVOS"/>
    <x v="0"/>
  </r>
  <r>
    <n v="35"/>
    <x v="34"/>
    <x v="4"/>
    <n v="7"/>
    <d v="2020-05-02T00:00:00"/>
    <s v="CLAVOS"/>
    <x v="0"/>
  </r>
  <r>
    <n v="36"/>
    <x v="35"/>
    <x v="4"/>
    <n v="6.4"/>
    <d v="2020-05-02T00:00:00"/>
    <s v="COLA"/>
    <x v="0"/>
  </r>
  <r>
    <n v="37"/>
    <x v="36"/>
    <x v="4"/>
    <n v="0.5"/>
    <d v="2020-05-02T00:00:00"/>
    <s v="ESTUCO"/>
    <x v="0"/>
  </r>
  <r>
    <n v="38"/>
    <x v="37"/>
    <x v="4"/>
    <n v="0.1"/>
    <d v="2020-05-02T00:00:00"/>
    <s v="ESTUCO"/>
    <x v="0"/>
  </r>
  <r>
    <n v="39"/>
    <x v="38"/>
    <x v="4"/>
    <n v="0.4"/>
    <d v="2020-05-02T00:00:00"/>
    <s v="ESTUCO"/>
    <x v="0"/>
  </r>
  <r>
    <n v="40"/>
    <x v="39"/>
    <x v="4"/>
    <n v="6.5"/>
    <d v="2020-05-02T00:00:00"/>
    <s v="FIERRO"/>
    <x v="0"/>
  </r>
  <r>
    <n v="41"/>
    <x v="40"/>
    <x v="1"/>
    <n v="2.9"/>
    <d v="2020-05-02T00:00:00"/>
    <s v="FOCO"/>
    <x v="0"/>
  </r>
  <r>
    <n v="42"/>
    <x v="41"/>
    <x v="6"/>
    <n v="65"/>
    <d v="2020-05-02T00:00:00"/>
    <s v="GRAVA"/>
    <x v="0"/>
  </r>
  <r>
    <n v="43"/>
    <x v="42"/>
    <x v="6"/>
    <n v="120.6"/>
    <d v="2020-05-02T00:00:00"/>
    <s v="GRAVA"/>
    <x v="0"/>
  </r>
  <r>
    <n v="44"/>
    <x v="43"/>
    <x v="1"/>
    <n v="40.299999999999997"/>
    <d v="2020-05-02T00:00:00"/>
    <s v="GRIFERIA"/>
    <x v="0"/>
  </r>
  <r>
    <n v="45"/>
    <x v="44"/>
    <x v="1"/>
    <n v="298.60000000000002"/>
    <d v="2020-05-02T00:00:00"/>
    <s v="INODORO"/>
    <x v="0"/>
  </r>
  <r>
    <n v="46"/>
    <x v="45"/>
    <x v="9"/>
    <n v="4"/>
    <d v="2020-05-02T00:00:00"/>
    <s v="KEROSENE"/>
    <x v="0"/>
  </r>
  <r>
    <n v="47"/>
    <x v="46"/>
    <x v="1"/>
    <n v="0.6"/>
    <d v="2020-05-02T00:00:00"/>
    <s v="LADRILLO"/>
    <x v="0"/>
  </r>
  <r>
    <n v="48"/>
    <x v="47"/>
    <x v="1"/>
    <n v="0.8"/>
    <d v="2020-05-02T00:00:00"/>
    <s v="LADRILLO"/>
    <x v="0"/>
  </r>
  <r>
    <n v="49"/>
    <x v="48"/>
    <x v="1"/>
    <n v="0.6"/>
    <d v="2020-05-02T00:00:00"/>
    <s v="LADRILLO"/>
    <x v="0"/>
  </r>
  <r>
    <n v="50"/>
    <x v="49"/>
    <x v="1"/>
    <n v="36.200000000000003"/>
    <d v="2020-05-02T00:00:00"/>
    <s v="LAVAMANOS"/>
    <x v="0"/>
  </r>
  <r>
    <n v="51"/>
    <x v="50"/>
    <x v="1"/>
    <n v="437"/>
    <d v="2020-05-02T00:00:00"/>
    <s v="LAVAPLATOS"/>
    <x v="0"/>
  </r>
  <r>
    <n v="52"/>
    <x v="51"/>
    <x v="10"/>
    <n v="1.02"/>
    <d v="2020-05-02T00:00:00"/>
    <s v="LIJA"/>
    <x v="0"/>
  </r>
  <r>
    <n v="53"/>
    <x v="52"/>
    <x v="10"/>
    <n v="1.43"/>
    <d v="2020-05-02T00:00:00"/>
    <s v="LIJA"/>
    <x v="0"/>
  </r>
  <r>
    <n v="54"/>
    <x v="53"/>
    <x v="11"/>
    <n v="0.1"/>
    <d v="2020-05-02T00:00:00"/>
    <s v="LIMPIADOR"/>
    <x v="0"/>
  </r>
  <r>
    <n v="55"/>
    <x v="54"/>
    <x v="12"/>
    <n v="0.6"/>
    <d v="2020-05-02T00:00:00"/>
    <s v="LISTONES"/>
    <x v="0"/>
  </r>
  <r>
    <n v="56"/>
    <x v="55"/>
    <x v="1"/>
    <n v="57.4"/>
    <d v="2020-05-02T00:00:00"/>
    <s v="LLAVE"/>
    <x v="0"/>
  </r>
  <r>
    <n v="57"/>
    <x v="56"/>
    <x v="1"/>
    <n v="80.5"/>
    <d v="2020-05-02T00:00:00"/>
    <s v="LUNIMARIA"/>
    <x v="0"/>
  </r>
  <r>
    <n v="58"/>
    <x v="57"/>
    <x v="12"/>
    <n v="8"/>
    <d v="2020-05-02T00:00:00"/>
    <s v="MADERA"/>
    <x v="0"/>
  </r>
  <r>
    <n v="59"/>
    <x v="58"/>
    <x v="12"/>
    <n v="4"/>
    <d v="2020-05-02T00:00:00"/>
    <s v="MADERA"/>
    <x v="0"/>
  </r>
  <r>
    <n v="60"/>
    <x v="59"/>
    <x v="1"/>
    <n v="533.6"/>
    <d v="2020-05-02T00:00:00"/>
    <s v="MEZCLADORA"/>
    <x v="0"/>
  </r>
  <r>
    <n v="61"/>
    <x v="60"/>
    <x v="4"/>
    <n v="1.3"/>
    <d v="2020-05-02T00:00:00"/>
    <s v="PAJA"/>
    <x v="0"/>
  </r>
  <r>
    <n v="62"/>
    <x v="61"/>
    <x v="5"/>
    <n v="40.299999999999997"/>
    <d v="2020-05-02T00:00:00"/>
    <s v="PARKET"/>
    <x v="0"/>
  </r>
  <r>
    <n v="63"/>
    <x v="62"/>
    <x v="13"/>
    <n v="54"/>
    <d v="2020-05-02T00:00:00"/>
    <s v="PARKETEX"/>
    <x v="0"/>
  </r>
  <r>
    <n v="64"/>
    <x v="63"/>
    <x v="3"/>
    <n v="37.9"/>
    <d v="2020-05-02T00:00:00"/>
    <s v="PEGAMENTO"/>
    <x v="0"/>
  </r>
  <r>
    <n v="65"/>
    <x v="64"/>
    <x v="4"/>
    <n v="30.1"/>
    <d v="2020-05-02T00:00:00"/>
    <s v="PEGAMENTO"/>
    <x v="0"/>
  </r>
  <r>
    <n v="66"/>
    <x v="65"/>
    <x v="7"/>
    <n v="373.8"/>
    <d v="2020-05-02T00:00:00"/>
    <s v="PERFIL"/>
    <x v="0"/>
  </r>
  <r>
    <n v="67"/>
    <x v="66"/>
    <x v="1"/>
    <n v="14.1"/>
    <d v="2020-05-02T00:00:00"/>
    <s v="PICAPORTE"/>
    <x v="0"/>
  </r>
  <r>
    <n v="68"/>
    <x v="67"/>
    <x v="6"/>
    <n v="65"/>
    <d v="2020-05-02T00:00:00"/>
    <s v="PIEDRA"/>
    <x v="0"/>
  </r>
  <r>
    <n v="69"/>
    <x v="68"/>
    <x v="6"/>
    <n v="65"/>
    <d v="2020-05-02T00:00:00"/>
    <s v="PIEDRA"/>
    <x v="0"/>
  </r>
  <r>
    <n v="70"/>
    <x v="69"/>
    <x v="13"/>
    <n v="84.74"/>
    <d v="2020-05-02T00:00:00"/>
    <s v="PINTURA"/>
    <x v="0"/>
  </r>
  <r>
    <n v="71"/>
    <x v="70"/>
    <x v="13"/>
    <n v="80.3"/>
    <d v="2020-05-02T00:00:00"/>
    <s v="PINTURA"/>
    <x v="0"/>
  </r>
  <r>
    <n v="72"/>
    <x v="71"/>
    <x v="13"/>
    <n v="60.5"/>
    <d v="2020-05-02T00:00:00"/>
    <s v="PINTURA"/>
    <x v="0"/>
  </r>
  <r>
    <n v="73"/>
    <x v="72"/>
    <x v="13"/>
    <n v="60.5"/>
    <d v="2020-05-02T00:00:00"/>
    <s v="PINTURA"/>
    <x v="0"/>
  </r>
  <r>
    <n v="74"/>
    <x v="73"/>
    <x v="1"/>
    <n v="33"/>
    <d v="2020-05-02T00:00:00"/>
    <s v="PLACA"/>
    <x v="0"/>
  </r>
  <r>
    <n v="75"/>
    <x v="74"/>
    <x v="7"/>
    <n v="4"/>
    <d v="2020-05-02T00:00:00"/>
    <s v="PLATINO"/>
    <x v="0"/>
  </r>
  <r>
    <n v="76"/>
    <x v="75"/>
    <x v="5"/>
    <n v="453.2"/>
    <d v="2020-05-02T00:00:00"/>
    <s v="PUERTA"/>
    <x v="0"/>
  </r>
  <r>
    <n v="77"/>
    <x v="76"/>
    <x v="5"/>
    <n v="494.5"/>
    <d v="2020-05-02T00:00:00"/>
    <s v="PUERTA"/>
    <x v="0"/>
  </r>
  <r>
    <n v="78"/>
    <x v="77"/>
    <x v="13"/>
    <n v="48.4"/>
    <d v="2020-05-02T00:00:00"/>
    <s v="SELLADOR"/>
    <x v="0"/>
  </r>
  <r>
    <n v="79"/>
    <x v="78"/>
    <x v="13"/>
    <n v="51.78"/>
    <d v="2020-05-02T00:00:00"/>
    <s v="SELLADOR"/>
    <x v="0"/>
  </r>
  <r>
    <n v="80"/>
    <x v="79"/>
    <x v="14"/>
    <n v="25.3"/>
    <d v="2020-05-02T00:00:00"/>
    <s v="SILICONA"/>
    <x v="0"/>
  </r>
  <r>
    <n v="81"/>
    <x v="80"/>
    <x v="4"/>
    <n v="14.8"/>
    <d v="2020-05-02T00:00:00"/>
    <s v="SOLDADURA"/>
    <x v="0"/>
  </r>
  <r>
    <n v="82"/>
    <x v="81"/>
    <x v="4"/>
    <n v="2.8"/>
    <d v="2020-05-02T00:00:00"/>
    <s v="SOLDADURA"/>
    <x v="0"/>
  </r>
  <r>
    <n v="83"/>
    <x v="82"/>
    <x v="1"/>
    <n v="5.2"/>
    <d v="2020-05-02T00:00:00"/>
    <s v="SOQUETE"/>
    <x v="0"/>
  </r>
  <r>
    <n v="84"/>
    <x v="83"/>
    <x v="1"/>
    <n v="3.1"/>
    <d v="2020-05-02T00:00:00"/>
    <s v="TACOS"/>
    <x v="0"/>
  </r>
  <r>
    <n v="85"/>
    <x v="84"/>
    <x v="15"/>
    <n v="1.7"/>
    <d v="2020-05-02T00:00:00"/>
    <s v="TEFLON"/>
    <x v="0"/>
  </r>
  <r>
    <n v="86"/>
    <x v="85"/>
    <x v="1"/>
    <n v="56.65"/>
    <d v="2020-05-02T00:00:00"/>
    <s v="TIMBRE"/>
    <x v="0"/>
  </r>
  <r>
    <n v="87"/>
    <x v="86"/>
    <x v="1"/>
    <n v="0.2"/>
    <d v="2020-05-02T00:00:00"/>
    <s v="TORNILLA"/>
    <x v="0"/>
  </r>
  <r>
    <n v="88"/>
    <x v="87"/>
    <x v="1"/>
    <n v="0.6"/>
    <d v="2020-05-02T00:00:00"/>
    <s v="TORNILLO"/>
    <x v="0"/>
  </r>
  <r>
    <n v="89"/>
    <x v="88"/>
    <x v="7"/>
    <n v="9.1999999999999993"/>
    <d v="2020-05-02T00:00:00"/>
    <s v="TUBERIA"/>
    <x v="0"/>
  </r>
  <r>
    <n v="90"/>
    <x v="89"/>
    <x v="7"/>
    <n v="21.3"/>
    <d v="2020-05-02T00:00:00"/>
    <s v="TUBERIA"/>
    <x v="0"/>
  </r>
  <r>
    <n v="91"/>
    <x v="90"/>
    <x v="7"/>
    <n v="1.7"/>
    <d v="2020-05-02T00:00:00"/>
    <s v="TUBO"/>
    <x v="0"/>
  </r>
  <r>
    <n v="92"/>
    <x v="91"/>
    <x v="7"/>
    <n v="2"/>
    <d v="2020-05-02T00:00:00"/>
    <s v="TUBO"/>
    <x v="0"/>
  </r>
  <r>
    <n v="93"/>
    <x v="92"/>
    <x v="7"/>
    <n v="1.43"/>
    <d v="2020-05-02T00:00:00"/>
    <s v="TUBO"/>
    <x v="0"/>
  </r>
  <r>
    <n v="94"/>
    <x v="93"/>
    <x v="7"/>
    <n v="1.43"/>
    <d v="2020-05-02T00:00:00"/>
    <s v="TUBO"/>
    <x v="0"/>
  </r>
  <r>
    <n v="95"/>
    <x v="94"/>
    <x v="7"/>
    <n v="18.399999999999999"/>
    <d v="2020-05-02T00:00:00"/>
    <s v="TUVERIA"/>
    <x v="0"/>
  </r>
  <r>
    <n v="96"/>
    <x v="95"/>
    <x v="2"/>
    <n v="574.29999999999995"/>
    <d v="2020-05-02T00:00:00"/>
    <s v="VARIOS"/>
    <x v="0"/>
  </r>
  <r>
    <n v="97"/>
    <x v="96"/>
    <x v="5"/>
    <n v="51.8"/>
    <d v="2020-05-02T00:00:00"/>
    <s v="VIDRIO"/>
    <x v="0"/>
  </r>
  <r>
    <n v="98"/>
    <x v="97"/>
    <x v="5"/>
    <n v="65"/>
    <d v="2020-05-02T00:00:00"/>
    <s v="VIGUETAS"/>
    <x v="0"/>
  </r>
  <r>
    <n v="99"/>
    <x v="98"/>
    <x v="7"/>
    <n v="7.5"/>
    <d v="2020-05-02T00:00:00"/>
    <s v="ZOCALO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la dinámica1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I4:K7" firstHeaderRow="1" firstDataRow="2" firstDataCol="1" rowPageCount="1" colPageCount="1"/>
  <pivotFields count="7">
    <pivotField showAll="0"/>
    <pivotField axis="axisRow" showAll="0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8"/>
        <item x="16"/>
        <item x="17"/>
        <item x="19"/>
        <item x="20"/>
        <item x="21"/>
        <item x="22"/>
        <item x="23"/>
        <item x="25"/>
        <item x="24"/>
        <item x="26"/>
        <item x="28"/>
        <item x="27"/>
        <item x="29"/>
        <item x="31"/>
        <item x="30"/>
        <item x="32"/>
        <item x="34"/>
        <item x="33"/>
        <item x="35"/>
        <item x="36"/>
        <item x="37"/>
        <item x="38"/>
        <item x="39"/>
        <item x="40"/>
        <item x="42"/>
        <item x="41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8"/>
        <item x="57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1"/>
        <item x="80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axis="axisCol" showAll="0">
      <items count="17">
        <item x="13"/>
        <item x="2"/>
        <item x="11"/>
        <item x="10"/>
        <item x="0"/>
        <item x="4"/>
        <item x="9"/>
        <item x="3"/>
        <item x="7"/>
        <item x="5"/>
        <item x="6"/>
        <item x="12"/>
        <item x="14"/>
        <item x="1"/>
        <item x="15"/>
        <item x="8"/>
        <item t="default"/>
      </items>
    </pivotField>
    <pivotField dataField="1" showAll="0"/>
    <pivotField numFmtId="14" showAll="0"/>
    <pivotField showAll="0"/>
    <pivotField axis="axisPage" showAll="0">
      <items count="11">
        <item x="8"/>
        <item x="1"/>
        <item x="9"/>
        <item x="4"/>
        <item x="2"/>
        <item x="5"/>
        <item x="3"/>
        <item x="6"/>
        <item x="7"/>
        <item x="0"/>
        <item t="default"/>
      </items>
    </pivotField>
  </pivotFields>
  <rowFields count="1">
    <field x="1"/>
  </rowFields>
  <rowItems count="2">
    <i>
      <x v="1"/>
    </i>
    <i t="grand">
      <x/>
    </i>
  </rowItems>
  <colFields count="1">
    <field x="2"/>
  </colFields>
  <colItems count="2">
    <i>
      <x v="13"/>
    </i>
    <i t="grand">
      <x/>
    </i>
  </colItems>
  <pageFields count="1">
    <pageField fld="6" item="1" hier="-1"/>
  </pageFields>
  <dataFields count="1">
    <dataField name="Suma de PRECIO UNITARIO 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Tabla dinámica3" cacheId="2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J4:L214" firstHeaderRow="1" firstDataRow="2" firstDataCol="1" rowPageCount="1" colPageCount="1"/>
  <pivotFields count="7">
    <pivotField axis="axisRow" allDrilled="1" showAll="0" dataSourceSort="1" defaultAttributeDrillState="1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axis="axisRow" allDrilled="1" showAll="0" dataSourceSort="1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llDrilled="1" showAll="0" dataSourceSort="1" defaultAttributeDrillState="1"/>
    <pivotField axis="axisCol" allDrilled="1" showAll="0" dataSourceSort="1" defaultAttributeDrillState="1">
      <items count="2">
        <item x="0"/>
        <item t="default"/>
      </items>
    </pivotField>
    <pivotField dataField="1" showAll="0"/>
    <pivotField axis="axisPage" allDrilled="1" showAll="0" dataSourceSort="1" defaultAttributeDrillState="1">
      <items count="1">
        <item t="default"/>
      </items>
    </pivotField>
    <pivotField axis="axisRow" allDrilled="1" showAll="0" dataSourceSort="1" defaultAttributeDrillState="1">
      <items count="2">
        <item x="0"/>
        <item t="default"/>
      </items>
    </pivotField>
  </pivotFields>
  <rowFields count="3">
    <field x="1"/>
    <field x="0"/>
    <field x="6"/>
  </rowFields>
  <rowItems count="209">
    <i>
      <x/>
    </i>
    <i r="1"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 r="1">
      <x v="4"/>
    </i>
    <i r="2">
      <x/>
    </i>
    <i r="1">
      <x v="5"/>
    </i>
    <i r="2">
      <x/>
    </i>
    <i r="1">
      <x v="6"/>
    </i>
    <i r="2">
      <x/>
    </i>
    <i r="1">
      <x v="7"/>
    </i>
    <i r="2">
      <x/>
    </i>
    <i r="1">
      <x v="8"/>
    </i>
    <i r="2">
      <x/>
    </i>
    <i r="1">
      <x v="9"/>
    </i>
    <i r="2">
      <x/>
    </i>
    <i r="1">
      <x v="10"/>
    </i>
    <i r="2">
      <x/>
    </i>
    <i r="1">
      <x v="11"/>
    </i>
    <i r="2">
      <x/>
    </i>
    <i r="1">
      <x v="12"/>
    </i>
    <i r="2">
      <x/>
    </i>
    <i r="1">
      <x v="13"/>
    </i>
    <i r="2">
      <x/>
    </i>
    <i r="1">
      <x v="14"/>
    </i>
    <i r="2">
      <x/>
    </i>
    <i r="1">
      <x v="15"/>
    </i>
    <i r="2">
      <x/>
    </i>
    <i r="1">
      <x v="16"/>
    </i>
    <i r="2">
      <x/>
    </i>
    <i r="1">
      <x v="17"/>
    </i>
    <i r="2">
      <x/>
    </i>
    <i r="1">
      <x v="18"/>
    </i>
    <i r="2">
      <x/>
    </i>
    <i r="1">
      <x v="19"/>
    </i>
    <i r="2">
      <x/>
    </i>
    <i r="1">
      <x v="20"/>
    </i>
    <i r="2">
      <x/>
    </i>
    <i r="1">
      <x v="21"/>
    </i>
    <i r="2">
      <x/>
    </i>
    <i r="1">
      <x v="22"/>
    </i>
    <i r="2">
      <x/>
    </i>
    <i r="1">
      <x v="23"/>
    </i>
    <i r="2">
      <x/>
    </i>
    <i r="1">
      <x v="24"/>
    </i>
    <i r="2">
      <x/>
    </i>
    <i r="1">
      <x v="25"/>
    </i>
    <i r="2">
      <x/>
    </i>
    <i r="1">
      <x v="26"/>
    </i>
    <i r="2">
      <x/>
    </i>
    <i r="1">
      <x v="27"/>
    </i>
    <i r="2">
      <x/>
    </i>
    <i r="1">
      <x v="28"/>
    </i>
    <i r="2">
      <x/>
    </i>
    <i r="1">
      <x v="29"/>
    </i>
    <i r="2">
      <x/>
    </i>
    <i r="1">
      <x v="30"/>
    </i>
    <i r="2">
      <x/>
    </i>
    <i r="1">
      <x v="31"/>
    </i>
    <i r="2">
      <x/>
    </i>
    <i r="1">
      <x v="32"/>
    </i>
    <i r="2">
      <x/>
    </i>
    <i r="1">
      <x v="33"/>
    </i>
    <i r="2">
      <x/>
    </i>
    <i r="1">
      <x v="34"/>
    </i>
    <i r="2">
      <x/>
    </i>
    <i r="1">
      <x v="35"/>
    </i>
    <i r="2">
      <x/>
    </i>
    <i r="1">
      <x v="36"/>
    </i>
    <i r="2">
      <x/>
    </i>
    <i r="1">
      <x v="37"/>
    </i>
    <i r="2">
      <x/>
    </i>
    <i r="1">
      <x v="38"/>
    </i>
    <i r="2">
      <x/>
    </i>
    <i r="1">
      <x v="39"/>
    </i>
    <i r="2">
      <x/>
    </i>
    <i r="1">
      <x v="40"/>
    </i>
    <i r="2">
      <x/>
    </i>
    <i r="1">
      <x v="41"/>
    </i>
    <i r="2">
      <x/>
    </i>
    <i r="1">
      <x v="42"/>
    </i>
    <i r="2">
      <x/>
    </i>
    <i r="1">
      <x v="43"/>
    </i>
    <i r="2">
      <x/>
    </i>
    <i r="1">
      <x v="44"/>
    </i>
    <i r="2">
      <x/>
    </i>
    <i r="1">
      <x v="45"/>
    </i>
    <i r="2">
      <x/>
    </i>
    <i r="1">
      <x v="46"/>
    </i>
    <i r="2">
      <x/>
    </i>
    <i r="1">
      <x v="47"/>
    </i>
    <i r="2">
      <x/>
    </i>
    <i r="1">
      <x v="48"/>
    </i>
    <i r="2">
      <x/>
    </i>
    <i r="1">
      <x v="49"/>
    </i>
    <i r="2">
      <x/>
    </i>
    <i r="1">
      <x v="50"/>
    </i>
    <i r="2">
      <x/>
    </i>
    <i r="1">
      <x v="51"/>
    </i>
    <i r="2">
      <x/>
    </i>
    <i r="1">
      <x v="52"/>
    </i>
    <i r="2">
      <x/>
    </i>
    <i r="1">
      <x v="53"/>
    </i>
    <i r="2">
      <x/>
    </i>
    <i r="1">
      <x v="54"/>
    </i>
    <i r="2">
      <x/>
    </i>
    <i r="1">
      <x v="55"/>
    </i>
    <i r="2">
      <x/>
    </i>
    <i r="1">
      <x v="56"/>
    </i>
    <i r="2">
      <x/>
    </i>
    <i r="1">
      <x v="57"/>
    </i>
    <i r="2">
      <x/>
    </i>
    <i r="1">
      <x v="58"/>
    </i>
    <i r="2">
      <x/>
    </i>
    <i r="1">
      <x v="59"/>
    </i>
    <i r="2">
      <x/>
    </i>
    <i r="1">
      <x v="60"/>
    </i>
    <i r="2">
      <x/>
    </i>
    <i r="1">
      <x v="61"/>
    </i>
    <i r="2">
      <x/>
    </i>
    <i r="1">
      <x v="62"/>
    </i>
    <i r="2">
      <x/>
    </i>
    <i r="1">
      <x v="63"/>
    </i>
    <i r="2">
      <x/>
    </i>
    <i r="1">
      <x v="64"/>
    </i>
    <i r="2">
      <x/>
    </i>
    <i r="1">
      <x v="65"/>
    </i>
    <i r="2">
      <x/>
    </i>
    <i r="1">
      <x v="66"/>
    </i>
    <i r="2">
      <x/>
    </i>
    <i r="1">
      <x v="67"/>
    </i>
    <i r="2">
      <x/>
    </i>
    <i r="1">
      <x v="68"/>
    </i>
    <i r="2">
      <x/>
    </i>
    <i r="1">
      <x v="69"/>
    </i>
    <i r="2">
      <x/>
    </i>
    <i r="1">
      <x v="70"/>
    </i>
    <i r="2">
      <x/>
    </i>
    <i r="1">
      <x v="71"/>
    </i>
    <i r="2">
      <x/>
    </i>
    <i r="1">
      <x v="72"/>
    </i>
    <i r="2">
      <x/>
    </i>
    <i r="1">
      <x v="73"/>
    </i>
    <i r="2">
      <x/>
    </i>
    <i r="1">
      <x v="74"/>
    </i>
    <i r="2">
      <x/>
    </i>
    <i r="1">
      <x v="75"/>
    </i>
    <i r="2">
      <x/>
    </i>
    <i r="1">
      <x v="76"/>
    </i>
    <i r="2">
      <x/>
    </i>
    <i r="1">
      <x v="77"/>
    </i>
    <i r="2">
      <x/>
    </i>
    <i r="1">
      <x v="78"/>
    </i>
    <i r="2">
      <x/>
    </i>
    <i r="1">
      <x v="79"/>
    </i>
    <i r="2">
      <x/>
    </i>
    <i r="1">
      <x v="80"/>
    </i>
    <i r="2">
      <x/>
    </i>
    <i r="1">
      <x v="81"/>
    </i>
    <i r="2">
      <x/>
    </i>
    <i r="1">
      <x v="82"/>
    </i>
    <i r="2">
      <x/>
    </i>
    <i>
      <x v="1"/>
    </i>
    <i r="1">
      <x v="83"/>
    </i>
    <i r="2">
      <x/>
    </i>
    <i r="1">
      <x v="84"/>
    </i>
    <i r="2">
      <x/>
    </i>
    <i>
      <x v="2"/>
    </i>
    <i r="1">
      <x v="85"/>
    </i>
    <i r="2">
      <x/>
    </i>
    <i>
      <x v="3"/>
    </i>
    <i r="1">
      <x v="86"/>
    </i>
    <i r="2">
      <x/>
    </i>
    <i r="1">
      <x v="87"/>
    </i>
    <i r="2">
      <x/>
    </i>
    <i>
      <x v="4"/>
    </i>
    <i r="1">
      <x v="88"/>
    </i>
    <i r="2">
      <x/>
    </i>
    <i>
      <x v="5"/>
    </i>
    <i r="1">
      <x v="89"/>
    </i>
    <i r="2">
      <x/>
    </i>
    <i r="1">
      <x v="90"/>
    </i>
    <i r="2">
      <x/>
    </i>
    <i>
      <x v="6"/>
    </i>
    <i r="1">
      <x v="91"/>
    </i>
    <i r="2">
      <x/>
    </i>
    <i r="1">
      <x v="92"/>
    </i>
    <i r="2">
      <x/>
    </i>
    <i>
      <x v="7"/>
    </i>
    <i r="1">
      <x v="93"/>
    </i>
    <i r="2">
      <x/>
    </i>
    <i>
      <x v="8"/>
    </i>
    <i r="1">
      <x v="94"/>
    </i>
    <i r="2">
      <x/>
    </i>
    <i r="1">
      <x v="95"/>
    </i>
    <i r="2">
      <x/>
    </i>
    <i r="1">
      <x v="96"/>
    </i>
    <i r="2">
      <x/>
    </i>
    <i>
      <x v="9"/>
    </i>
    <i r="1">
      <x v="97"/>
    </i>
    <i r="2">
      <x/>
    </i>
    <i r="1">
      <x v="98"/>
    </i>
    <i r="2">
      <x/>
    </i>
    <i t="grand">
      <x/>
    </i>
  </rowItems>
  <colFields count="1">
    <field x="3"/>
  </colFields>
  <colItems count="2">
    <i>
      <x/>
    </i>
    <i t="grand">
      <x/>
    </i>
  </colItems>
  <pageFields count="1">
    <pageField fld="5" hier="13" name="[Tabla4].[PROVEEDORES].&amp;[Barraca San Pedro]" cap="Barraca San Pedro"/>
  </pageFields>
  <dataFields count="1">
    <dataField name="Suma de PRECIO UNITARIO" fld="4" baseField="0" baseItem="0"/>
  </dataField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a4].[cod].&amp;[9]"/>
      </members>
    </pivotHierarchy>
    <pivotHierarchy multipleItemSelectionAllowed="1" dragToData="1">
      <members count="1" level="1">
        <member name="[Tabla4].[PROVEEDORES].&amp;[Barraca San Pedr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6"/>
    <rowHierarchyUsage hierarchyUsage="1"/>
    <rowHierarchyUsage hierarchyUsage="15"/>
  </rowHierarchiesUsage>
  <colHierarchiesUsage count="1">
    <colHierarchyUsage hierarchyUsage="1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istadeproveedores]"/>
        <x15:activeTabTopLevelEntity name="[InsumoMateriales]"/>
        <x15:activeTabTopLevelEntity name="[Tabla4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abla diná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G4:I21" firstHeaderRow="1" firstDataRow="1" firstDataCol="0"/>
  <pivotFields count="5"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6:F65" totalsRowCount="1" headerRowBorderDxfId="26" tableBorderDxfId="25">
  <autoFilter ref="A6:F64" xr:uid="{00000000-0009-0000-0100-000001000000}"/>
  <tableColumns count="6">
    <tableColumn id="1" xr3:uid="{00000000-0010-0000-0000-000001000000}" name="COD." totalsRowLabel="Total" dataDxfId="24" totalsRowDxfId="23"/>
    <tableColumn id="2" xr3:uid="{00000000-0010-0000-0000-000002000000}" name="ITEM" dataDxfId="22" totalsRowDxfId="21"/>
    <tableColumn id="3" xr3:uid="{00000000-0010-0000-0000-000003000000}" name="UNID." dataDxfId="20" totalsRowDxfId="19"/>
    <tableColumn id="4" xr3:uid="{00000000-0010-0000-0000-000004000000}" name="CANTIDAD" dataDxfId="18" totalsRowDxfId="17">
      <calculatedColumnFormula>VLOOKUP(A7,'COMPUTOS METRICOS'!$A$2:$K$880,11,)</calculatedColumnFormula>
    </tableColumn>
    <tableColumn id="5" xr3:uid="{00000000-0010-0000-0000-000005000000}" name="PRECIO UNITARIO [Bs.]" dataDxfId="16" totalsRowDxfId="15">
      <calculatedColumnFormula>Preciounitario</calculatedColumnFormula>
    </tableColumn>
    <tableColumn id="6" xr3:uid="{00000000-0010-0000-0000-000006000000}" name="PARCIAL   _x000a_  [Bs.] " totalsRowFunction="sum" dataDxfId="14" totalsRowDxfId="13">
      <calculatedColumnFormula>PRODUCT(D7:E7)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nsumoMateriales" displayName="InsumoMateriales" ref="A2:G101" totalsRowShown="0" headerRowDxfId="12" headerRowBorderDxfId="11" tableBorderDxfId="10" totalsRowBorderDxfId="9">
  <autoFilter ref="A2:G101" xr:uid="{00000000-0009-0000-0100-000002000000}"/>
  <tableColumns count="7">
    <tableColumn id="1" xr3:uid="{00000000-0010-0000-0100-000001000000}" name="COD" dataDxfId="8"/>
    <tableColumn id="2" xr3:uid="{00000000-0010-0000-0100-000002000000}" name="DESCRIPCION" dataDxfId="7"/>
    <tableColumn id="3" xr3:uid="{00000000-0010-0000-0100-000003000000}" name="UNID" dataDxfId="6"/>
    <tableColumn id="4" xr3:uid="{00000000-0010-0000-0100-000004000000}" name="PRECIO UNITARIO " dataDxfId="5"/>
    <tableColumn id="5" xr3:uid="{00000000-0010-0000-0100-000005000000}" name="FECHA" dataDxfId="4"/>
    <tableColumn id="6" xr3:uid="{00000000-0010-0000-0100-000006000000}" name="GRUPO " dataDxfId="3"/>
    <tableColumn id="7" xr3:uid="{00000000-0010-0000-0100-000007000000}" name="PROVEEDORES" dataDxfId="2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istadeproveedores" displayName="listadeproveedores" ref="A3:E27" totalsRowShown="0">
  <autoFilter ref="A3:E27" xr:uid="{00000000-0009-0000-0100-000003000000}"/>
  <tableColumns count="5">
    <tableColumn id="5" xr3:uid="{00000000-0010-0000-0200-000005000000}" name="cod"/>
    <tableColumn id="1" xr3:uid="{00000000-0010-0000-0200-000001000000}" name=" PROVEEDORES"/>
    <tableColumn id="2" xr3:uid="{00000000-0010-0000-0200-000002000000}" name="DIRECCION "/>
    <tableColumn id="3" xr3:uid="{00000000-0010-0000-0200-000003000000}" name="TELEFONO "/>
    <tableColumn id="4" xr3:uid="{00000000-0010-0000-0200-000004000000}" name="CORREO 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INSUMOSMANODEOBRA" displayName="INSUMOSMANODEOBRA" ref="A2:G18" totalsRowShown="0">
  <autoFilter ref="A2:G18" xr:uid="{00000000-0009-0000-0100-000005000000}"/>
  <tableColumns count="7">
    <tableColumn id="1" xr3:uid="{00000000-0010-0000-0300-000001000000}" name="COD"/>
    <tableColumn id="2" xr3:uid="{00000000-0010-0000-0300-000002000000}" name="MANO DE OBRA "/>
    <tableColumn id="3" xr3:uid="{00000000-0010-0000-0300-000003000000}" name="UNID "/>
    <tableColumn id="6" xr3:uid="{00000000-0010-0000-0300-000006000000}" name="PRECIO UNITARIO " dataDxfId="1"/>
    <tableColumn id="4" xr3:uid="{00000000-0010-0000-0300-000004000000}" name="FECHA "/>
    <tableColumn id="7" xr3:uid="{00000000-0010-0000-0300-000007000000}" name="JORNAL LA PAZ  "/>
    <tableColumn id="8" xr3:uid="{00000000-0010-0000-0300-000008000000}" name="JORNAL ORURO 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INSUMOEQUIPOYMAQUINARIA" displayName="INSUMOEQUIPOYMAQUINARIA" ref="A2:E7" totalsRowShown="0">
  <autoFilter ref="A2:E7" xr:uid="{00000000-0009-0000-0100-000006000000}"/>
  <tableColumns count="5">
    <tableColumn id="1" xr3:uid="{00000000-0010-0000-0400-000001000000}" name="COD"/>
    <tableColumn id="2" xr3:uid="{00000000-0010-0000-0400-000002000000}" name="MANO DE OBRA "/>
    <tableColumn id="3" xr3:uid="{00000000-0010-0000-0400-000003000000}" name="UNID "/>
    <tableColumn id="6" xr3:uid="{00000000-0010-0000-0400-000006000000}" name="PRECIO UNITARIO " dataDxfId="0">
      <calculatedColumnFormula>#REF!/8</calculatedColumnFormula>
    </tableColumn>
    <tableColumn id="4" xr3:uid="{00000000-0010-0000-0400-000004000000}" name="FECHA 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barraca@gmail.com" TargetMode="Externa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table" Target="../tables/table3.xml"/><Relationship Id="rId4" Type="http://schemas.openxmlformats.org/officeDocument/2006/relationships/hyperlink" Target="mailto:emisa@hot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"/>
  <sheetViews>
    <sheetView topLeftCell="A31" zoomScaleNormal="100" workbookViewId="0">
      <selection activeCell="D47" sqref="D47"/>
    </sheetView>
  </sheetViews>
  <sheetFormatPr baseColWidth="10" defaultColWidth="11.5703125" defaultRowHeight="15" x14ac:dyDescent="0.25"/>
  <cols>
    <col min="1" max="1" width="7.140625" style="15" customWidth="1"/>
    <col min="2" max="2" width="44.42578125" style="15" customWidth="1"/>
    <col min="3" max="3" width="9.28515625" style="15" customWidth="1"/>
    <col min="4" max="4" width="11.7109375" style="22" customWidth="1"/>
    <col min="5" max="5" width="22.28515625" style="22" customWidth="1"/>
    <col min="6" max="6" width="10.85546875" style="22" bestFit="1" customWidth="1"/>
  </cols>
  <sheetData>
    <row r="1" spans="1:6" ht="33.75" x14ac:dyDescent="0.5">
      <c r="A1" s="202" t="s">
        <v>13</v>
      </c>
      <c r="B1" s="202"/>
      <c r="C1" s="202"/>
      <c r="D1" s="202"/>
      <c r="E1" s="202"/>
      <c r="F1" s="202"/>
    </row>
    <row r="2" spans="1:6" ht="16.5" thickBot="1" x14ac:dyDescent="0.3">
      <c r="A2" s="15" t="s">
        <v>164</v>
      </c>
      <c r="E2" s="25" t="s">
        <v>255</v>
      </c>
      <c r="F2" s="158">
        <v>43952</v>
      </c>
    </row>
    <row r="3" spans="1:6" ht="16.5" thickBot="1" x14ac:dyDescent="0.3">
      <c r="A3" s="200" t="s">
        <v>165</v>
      </c>
      <c r="B3" s="201"/>
      <c r="C3" s="203" t="s">
        <v>17</v>
      </c>
      <c r="D3" s="204"/>
      <c r="E3" s="204"/>
      <c r="F3" s="205"/>
    </row>
    <row r="4" spans="1:6" ht="24" thickBot="1" x14ac:dyDescent="0.4">
      <c r="A4" s="116" t="s">
        <v>14</v>
      </c>
      <c r="B4" s="117"/>
      <c r="C4" s="206"/>
      <c r="D4" s="207"/>
      <c r="E4" s="207"/>
      <c r="F4" s="208"/>
    </row>
    <row r="6" spans="1:6" ht="30" x14ac:dyDescent="0.25">
      <c r="A6" s="140" t="s">
        <v>15</v>
      </c>
      <c r="B6" s="141" t="s">
        <v>2</v>
      </c>
      <c r="C6" s="141" t="s">
        <v>12</v>
      </c>
      <c r="D6" s="142" t="s">
        <v>16</v>
      </c>
      <c r="E6" s="143" t="s">
        <v>56</v>
      </c>
      <c r="F6" s="144" t="s">
        <v>57</v>
      </c>
    </row>
    <row r="7" spans="1:6" x14ac:dyDescent="0.25">
      <c r="A7" s="137" t="s">
        <v>123</v>
      </c>
      <c r="B7" s="136"/>
      <c r="C7" s="16"/>
      <c r="D7" s="23"/>
      <c r="E7" s="23"/>
      <c r="F7" s="138"/>
    </row>
    <row r="8" spans="1:6" x14ac:dyDescent="0.25">
      <c r="A8" s="21" t="s">
        <v>124</v>
      </c>
      <c r="B8" s="17" t="s">
        <v>18</v>
      </c>
      <c r="C8" s="18" t="s">
        <v>27</v>
      </c>
      <c r="D8" s="24">
        <f>VLOOKUP(A8,'COMPUTOS METRICOS'!A2:K482,11,0)</f>
        <v>1</v>
      </c>
      <c r="E8" s="24">
        <f>PreciounitarioOP01</f>
        <v>1979.58</v>
      </c>
      <c r="F8" s="139">
        <f>ROUND(PRODUCT(D8:E8),3)</f>
        <v>1979.58</v>
      </c>
    </row>
    <row r="9" spans="1:6" x14ac:dyDescent="0.25">
      <c r="A9" s="21" t="s">
        <v>125</v>
      </c>
      <c r="B9" s="17" t="s">
        <v>19</v>
      </c>
      <c r="C9" s="18" t="s">
        <v>28</v>
      </c>
      <c r="D9" s="24">
        <f>VLOOKUP(A9,'COMPUTOS METRICOS'!A2:K482,11,0)</f>
        <v>162.63999999999999</v>
      </c>
      <c r="E9" s="24">
        <f>PrecioUnitarioOP02</f>
        <v>930.06</v>
      </c>
      <c r="F9" s="139">
        <f>ROUND(PRODUCT(D9:E9),3)</f>
        <v>151264.95800000001</v>
      </c>
    </row>
    <row r="10" spans="1:6" x14ac:dyDescent="0.25">
      <c r="A10" s="137" t="s">
        <v>58</v>
      </c>
      <c r="B10" s="136"/>
      <c r="C10" s="16"/>
      <c r="D10" s="16"/>
      <c r="E10" s="16"/>
      <c r="F10" s="138"/>
    </row>
    <row r="11" spans="1:6" x14ac:dyDescent="0.25">
      <c r="A11" s="21" t="s">
        <v>126</v>
      </c>
      <c r="B11" s="19" t="s">
        <v>30</v>
      </c>
      <c r="C11" s="18" t="s">
        <v>29</v>
      </c>
      <c r="D11" s="24">
        <f>VLOOKUP(A11,'COMPUTOS METRICOS'!$A$2:$K$482,11,0)</f>
        <v>59.1</v>
      </c>
      <c r="E11" s="24"/>
      <c r="F11" s="139">
        <f t="shared" ref="F11:F64" si="0">PRODUCT(D11:E11)</f>
        <v>59.1</v>
      </c>
    </row>
    <row r="12" spans="1:6" x14ac:dyDescent="0.25">
      <c r="A12" s="21" t="s">
        <v>127</v>
      </c>
      <c r="B12" s="17" t="s">
        <v>31</v>
      </c>
      <c r="C12" s="18" t="s">
        <v>29</v>
      </c>
      <c r="D12" s="24">
        <f>VLOOKUP(A12,'COMPUTOS METRICOS'!$A$2:$K$482,11,0)</f>
        <v>25.06</v>
      </c>
      <c r="E12" s="24"/>
      <c r="F12" s="139">
        <f t="shared" si="0"/>
        <v>25.06</v>
      </c>
    </row>
    <row r="13" spans="1:6" x14ac:dyDescent="0.25">
      <c r="A13" s="21" t="s">
        <v>128</v>
      </c>
      <c r="B13" s="20" t="s">
        <v>32</v>
      </c>
      <c r="C13" s="18" t="s">
        <v>29</v>
      </c>
      <c r="D13" s="24">
        <f>VLOOKUP(A13,'COMPUTOS METRICOS'!$A$2:$K$482,11,0)</f>
        <v>9.92</v>
      </c>
      <c r="E13" s="24"/>
      <c r="F13" s="139">
        <f t="shared" si="0"/>
        <v>9.92</v>
      </c>
    </row>
    <row r="14" spans="1:6" x14ac:dyDescent="0.25">
      <c r="A14" s="21" t="s">
        <v>129</v>
      </c>
      <c r="B14" s="20" t="s">
        <v>33</v>
      </c>
      <c r="C14" s="18" t="s">
        <v>29</v>
      </c>
      <c r="D14" s="24">
        <f>VLOOKUP(A14,'COMPUTOS METRICOS'!$A$2:$K$482,11,0)</f>
        <v>6.11</v>
      </c>
      <c r="E14" s="24"/>
      <c r="F14" s="139">
        <f t="shared" si="0"/>
        <v>6.11</v>
      </c>
    </row>
    <row r="15" spans="1:6" x14ac:dyDescent="0.25">
      <c r="A15" s="21" t="s">
        <v>130</v>
      </c>
      <c r="B15" s="17" t="s">
        <v>23</v>
      </c>
      <c r="C15" s="18" t="s">
        <v>29</v>
      </c>
      <c r="D15" s="24">
        <f>VLOOKUP(A15,'COMPUTOS METRICOS'!$A$2:$K$482,11,0)</f>
        <v>5.98</v>
      </c>
      <c r="E15" s="24"/>
      <c r="F15" s="139">
        <f t="shared" si="0"/>
        <v>5.98</v>
      </c>
    </row>
    <row r="16" spans="1:6" x14ac:dyDescent="0.25">
      <c r="A16" s="21" t="s">
        <v>131</v>
      </c>
      <c r="B16" s="17" t="s">
        <v>34</v>
      </c>
      <c r="C16" s="18" t="s">
        <v>28</v>
      </c>
      <c r="D16" s="24">
        <f>VLOOKUP(A16,'COMPUTOS METRICOS'!$A$2:$K$482,11,0)</f>
        <v>15.27</v>
      </c>
      <c r="E16" s="24"/>
      <c r="F16" s="139">
        <f t="shared" si="0"/>
        <v>15.27</v>
      </c>
    </row>
    <row r="17" spans="1:6" x14ac:dyDescent="0.25">
      <c r="A17" s="21" t="s">
        <v>132</v>
      </c>
      <c r="B17" s="17" t="s">
        <v>36</v>
      </c>
      <c r="C17" s="18" t="s">
        <v>28</v>
      </c>
      <c r="D17" s="24">
        <f>VLOOKUP(A17,'COMPUTOS METRICOS'!$A$2:$K$482,11,0)</f>
        <v>163.25</v>
      </c>
      <c r="E17" s="24"/>
      <c r="F17" s="139">
        <f t="shared" si="0"/>
        <v>163.25</v>
      </c>
    </row>
    <row r="18" spans="1:6" x14ac:dyDescent="0.25">
      <c r="A18" s="21" t="s">
        <v>133</v>
      </c>
      <c r="B18" s="17" t="s">
        <v>37</v>
      </c>
      <c r="C18" s="18" t="s">
        <v>28</v>
      </c>
      <c r="D18" s="24">
        <f>VLOOKUP(A18,'COMPUTOS METRICOS'!$A$2:$K$482,11,0)</f>
        <v>117.24</v>
      </c>
      <c r="E18" s="24"/>
      <c r="F18" s="139">
        <f t="shared" si="0"/>
        <v>117.24</v>
      </c>
    </row>
    <row r="19" spans="1:6" x14ac:dyDescent="0.25">
      <c r="A19" s="21" t="s">
        <v>134</v>
      </c>
      <c r="B19" s="17" t="s">
        <v>38</v>
      </c>
      <c r="C19" s="18" t="s">
        <v>28</v>
      </c>
      <c r="D19" s="24">
        <f>VLOOKUP(A19,'COMPUTOS METRICOS'!$A$2:$K$482,11,0)</f>
        <v>23.55</v>
      </c>
      <c r="E19" s="24"/>
      <c r="F19" s="139">
        <f t="shared" si="0"/>
        <v>23.55</v>
      </c>
    </row>
    <row r="20" spans="1:6" x14ac:dyDescent="0.25">
      <c r="A20" s="21" t="s">
        <v>20</v>
      </c>
      <c r="B20" s="17" t="s">
        <v>25</v>
      </c>
      <c r="C20" s="18" t="s">
        <v>29</v>
      </c>
      <c r="D20" s="24">
        <f>VLOOKUP(A20,'COMPUTOS METRICOS'!$A$2:$K$482,11,0)</f>
        <v>11.94</v>
      </c>
      <c r="E20" s="24"/>
      <c r="F20" s="139">
        <f t="shared" si="0"/>
        <v>11.94</v>
      </c>
    </row>
    <row r="21" spans="1:6" x14ac:dyDescent="0.25">
      <c r="A21" s="21" t="s">
        <v>21</v>
      </c>
      <c r="B21" s="21" t="s">
        <v>59</v>
      </c>
      <c r="C21" s="18" t="s">
        <v>28</v>
      </c>
      <c r="D21" s="24">
        <f>VLOOKUP(A21,'COMPUTOS METRICOS'!$A$2:$K$482,11,0)</f>
        <v>122.62</v>
      </c>
      <c r="E21" s="24"/>
      <c r="F21" s="139">
        <f t="shared" si="0"/>
        <v>122.62</v>
      </c>
    </row>
    <row r="22" spans="1:6" x14ac:dyDescent="0.25">
      <c r="A22" s="21" t="s">
        <v>22</v>
      </c>
      <c r="B22" s="21" t="s">
        <v>26</v>
      </c>
      <c r="C22" s="18" t="s">
        <v>29</v>
      </c>
      <c r="D22" s="24">
        <f>VLOOKUP(A22,'COMPUTOS METRICOS'!$A$2:$K$482,11,0)</f>
        <v>1.1200000000000001</v>
      </c>
      <c r="E22" s="24"/>
      <c r="F22" s="139">
        <f t="shared" si="0"/>
        <v>1.1200000000000001</v>
      </c>
    </row>
    <row r="23" spans="1:6" x14ac:dyDescent="0.25">
      <c r="A23" s="21" t="s">
        <v>24</v>
      </c>
      <c r="B23" s="21" t="s">
        <v>122</v>
      </c>
      <c r="C23" s="18" t="s">
        <v>28</v>
      </c>
      <c r="D23" s="24">
        <f>VLOOKUP(A23,'COMPUTOS METRICOS'!$A$2:$K$482,11,0)</f>
        <v>154.22</v>
      </c>
      <c r="E23" s="24"/>
      <c r="F23" s="139">
        <f t="shared" si="0"/>
        <v>154.22</v>
      </c>
    </row>
    <row r="24" spans="1:6" x14ac:dyDescent="0.25">
      <c r="A24" s="21" t="s">
        <v>121</v>
      </c>
      <c r="B24" s="21" t="s">
        <v>60</v>
      </c>
      <c r="C24" s="18" t="s">
        <v>35</v>
      </c>
      <c r="D24" s="24">
        <f>VLOOKUP(A24,'COMPUTOS METRICOS'!$A$2:$K$482,11,0)</f>
        <v>13.6</v>
      </c>
      <c r="E24" s="24"/>
      <c r="F24" s="139">
        <f t="shared" si="0"/>
        <v>13.6</v>
      </c>
    </row>
    <row r="25" spans="1:6" x14ac:dyDescent="0.25">
      <c r="A25" s="137" t="s">
        <v>61</v>
      </c>
      <c r="B25" s="136"/>
      <c r="C25" s="16"/>
      <c r="D25" s="16"/>
      <c r="E25" s="16"/>
      <c r="F25" s="138"/>
    </row>
    <row r="26" spans="1:6" x14ac:dyDescent="0.25">
      <c r="A26" s="21" t="s">
        <v>39</v>
      </c>
      <c r="B26" s="17" t="s">
        <v>62</v>
      </c>
      <c r="C26" s="18" t="s">
        <v>35</v>
      </c>
      <c r="D26" s="24">
        <f>VLOOKUP(A26,'COMPUTOS METRICOS'!$A$2:$K$482,11,0)</f>
        <v>33.200000000000003</v>
      </c>
      <c r="E26" s="24"/>
      <c r="F26" s="139">
        <f t="shared" si="0"/>
        <v>33.200000000000003</v>
      </c>
    </row>
    <row r="27" spans="1:6" x14ac:dyDescent="0.25">
      <c r="A27" s="21" t="s">
        <v>40</v>
      </c>
      <c r="B27" s="17" t="s">
        <v>63</v>
      </c>
      <c r="C27" s="18" t="s">
        <v>28</v>
      </c>
      <c r="D27" s="24">
        <f>VLOOKUP(A27,'COMPUTOS METRICOS'!$A$2:$K$482,11,0)</f>
        <v>109.54</v>
      </c>
      <c r="E27" s="24"/>
      <c r="F27" s="139">
        <f t="shared" si="0"/>
        <v>109.54</v>
      </c>
    </row>
    <row r="28" spans="1:6" x14ac:dyDescent="0.25">
      <c r="A28" s="21" t="s">
        <v>41</v>
      </c>
      <c r="B28" s="17" t="s">
        <v>64</v>
      </c>
      <c r="C28" s="18" t="s">
        <v>28</v>
      </c>
      <c r="D28" s="24">
        <f>VLOOKUP(A28,'COMPUTOS METRICOS'!$A$2:$K$482,11,0)</f>
        <v>109.54</v>
      </c>
      <c r="E28" s="24"/>
      <c r="F28" s="139">
        <f t="shared" si="0"/>
        <v>109.54</v>
      </c>
    </row>
    <row r="29" spans="1:6" x14ac:dyDescent="0.25">
      <c r="A29" s="21" t="s">
        <v>42</v>
      </c>
      <c r="B29" s="17" t="s">
        <v>65</v>
      </c>
      <c r="C29" s="18" t="s">
        <v>28</v>
      </c>
      <c r="D29" s="24">
        <f>VLOOKUP(A29,'COMPUTOS METRICOS'!$A$2:$K$482,11,0)</f>
        <v>22</v>
      </c>
      <c r="E29" s="24"/>
      <c r="F29" s="139">
        <f t="shared" si="0"/>
        <v>22</v>
      </c>
    </row>
    <row r="30" spans="1:6" x14ac:dyDescent="0.25">
      <c r="A30" s="21" t="s">
        <v>43</v>
      </c>
      <c r="B30" s="17" t="s">
        <v>66</v>
      </c>
      <c r="C30" s="18" t="s">
        <v>28</v>
      </c>
      <c r="D30" s="24">
        <f>VLOOKUP(A30,'COMPUTOS METRICOS'!$A$2:$K$482,11,0)</f>
        <v>197.07</v>
      </c>
      <c r="E30" s="24"/>
      <c r="F30" s="139">
        <f t="shared" si="0"/>
        <v>197.07</v>
      </c>
    </row>
    <row r="31" spans="1:6" x14ac:dyDescent="0.25">
      <c r="A31" s="21" t="s">
        <v>44</v>
      </c>
      <c r="B31" s="17" t="s">
        <v>67</v>
      </c>
      <c r="C31" s="18" t="s">
        <v>28</v>
      </c>
      <c r="D31" s="24">
        <f>VLOOKUP(A31,'COMPUTOS METRICOS'!$A$2:$K$482,11,0)</f>
        <v>39.130000000000003</v>
      </c>
      <c r="E31" s="24"/>
      <c r="F31" s="139">
        <f t="shared" si="0"/>
        <v>39.130000000000003</v>
      </c>
    </row>
    <row r="32" spans="1:6" x14ac:dyDescent="0.25">
      <c r="A32" s="21" t="s">
        <v>45</v>
      </c>
      <c r="B32" s="17" t="s">
        <v>68</v>
      </c>
      <c r="C32" s="18" t="s">
        <v>28</v>
      </c>
      <c r="D32" s="24">
        <f>VLOOKUP(A32,'COMPUTOS METRICOS'!$A$2:$K$880,11,)</f>
        <v>109.54</v>
      </c>
      <c r="E32" s="24"/>
      <c r="F32" s="139">
        <f t="shared" si="0"/>
        <v>109.54</v>
      </c>
    </row>
    <row r="33" spans="1:6" x14ac:dyDescent="0.25">
      <c r="A33" s="21" t="s">
        <v>46</v>
      </c>
      <c r="B33" s="17" t="s">
        <v>69</v>
      </c>
      <c r="C33" s="18" t="s">
        <v>28</v>
      </c>
      <c r="D33" s="24">
        <f>VLOOKUP(A33,'COMPUTOS METRICOS'!$A$2:$K$880,11,)</f>
        <v>109.54</v>
      </c>
      <c r="E33" s="24"/>
      <c r="F33" s="139">
        <f t="shared" si="0"/>
        <v>109.54</v>
      </c>
    </row>
    <row r="34" spans="1:6" x14ac:dyDescent="0.25">
      <c r="A34" s="21" t="s">
        <v>47</v>
      </c>
      <c r="B34" s="17" t="s">
        <v>70</v>
      </c>
      <c r="C34" s="18" t="s">
        <v>28</v>
      </c>
      <c r="D34" s="24">
        <f>VLOOKUP(A34,'COMPUTOS METRICOS'!$A$2:$K$880,11,)</f>
        <v>163.24</v>
      </c>
      <c r="E34" s="24"/>
      <c r="F34" s="139">
        <f t="shared" si="0"/>
        <v>163.24</v>
      </c>
    </row>
    <row r="35" spans="1:6" x14ac:dyDescent="0.25">
      <c r="A35" s="21" t="s">
        <v>48</v>
      </c>
      <c r="B35" s="17" t="s">
        <v>71</v>
      </c>
      <c r="C35" s="18" t="s">
        <v>28</v>
      </c>
      <c r="D35" s="24">
        <f>VLOOKUP(A35,'COMPUTOS METRICOS'!$A$2:$K$880,11,)</f>
        <v>334.45</v>
      </c>
      <c r="E35" s="24"/>
      <c r="F35" s="139">
        <f t="shared" si="0"/>
        <v>334.45</v>
      </c>
    </row>
    <row r="36" spans="1:6" x14ac:dyDescent="0.25">
      <c r="A36" s="21" t="s">
        <v>50</v>
      </c>
      <c r="B36" s="17" t="s">
        <v>72</v>
      </c>
      <c r="C36" s="18" t="s">
        <v>49</v>
      </c>
      <c r="D36" s="24">
        <f>VLOOKUP(A36,'COMPUTOS METRICOS'!$A$2:$K$880,11,)</f>
        <v>10</v>
      </c>
      <c r="E36" s="24"/>
      <c r="F36" s="139">
        <f t="shared" si="0"/>
        <v>10</v>
      </c>
    </row>
    <row r="37" spans="1:6" x14ac:dyDescent="0.25">
      <c r="A37" s="21" t="s">
        <v>54</v>
      </c>
      <c r="B37" s="17" t="s">
        <v>73</v>
      </c>
      <c r="C37" s="18" t="s">
        <v>49</v>
      </c>
      <c r="D37" s="24">
        <f>VLOOKUP(A37,'COMPUTOS METRICOS'!$A$2:$K$880,11,)</f>
        <v>2</v>
      </c>
      <c r="E37" s="24"/>
      <c r="F37" s="139">
        <f t="shared" si="0"/>
        <v>2</v>
      </c>
    </row>
    <row r="38" spans="1:6" x14ac:dyDescent="0.25">
      <c r="A38" s="21" t="s">
        <v>51</v>
      </c>
      <c r="B38" s="17" t="s">
        <v>74</v>
      </c>
      <c r="C38" s="18" t="s">
        <v>28</v>
      </c>
      <c r="D38" s="24">
        <f>VLOOKUP(A38,'COMPUTOS METRICOS'!$A$2:$K$880,11,)</f>
        <v>12.7</v>
      </c>
      <c r="E38" s="24"/>
      <c r="F38" s="139">
        <f t="shared" si="0"/>
        <v>12.7</v>
      </c>
    </row>
    <row r="39" spans="1:6" x14ac:dyDescent="0.25">
      <c r="A39" s="21" t="s">
        <v>52</v>
      </c>
      <c r="B39" s="17" t="s">
        <v>75</v>
      </c>
      <c r="C39" s="18" t="s">
        <v>35</v>
      </c>
      <c r="D39" s="24">
        <f>VLOOKUP(A39,'COMPUTOS METRICOS'!$A$2:$K$880,11,)</f>
        <v>19.32</v>
      </c>
      <c r="E39" s="24"/>
      <c r="F39" s="139">
        <f t="shared" si="0"/>
        <v>19.32</v>
      </c>
    </row>
    <row r="40" spans="1:6" x14ac:dyDescent="0.25">
      <c r="A40" s="21" t="s">
        <v>53</v>
      </c>
      <c r="B40" s="17" t="s">
        <v>76</v>
      </c>
      <c r="C40" s="18" t="s">
        <v>35</v>
      </c>
      <c r="D40" s="24">
        <f>VLOOKUP(A40,'COMPUTOS METRICOS'!$A$2:$K$880,11,)</f>
        <v>138.68</v>
      </c>
      <c r="E40" s="24"/>
      <c r="F40" s="139">
        <f t="shared" si="0"/>
        <v>138.68</v>
      </c>
    </row>
    <row r="41" spans="1:6" x14ac:dyDescent="0.25">
      <c r="A41" s="137" t="s">
        <v>77</v>
      </c>
      <c r="B41" s="136"/>
      <c r="C41" s="16"/>
      <c r="D41" s="16"/>
      <c r="E41" s="16"/>
      <c r="F41" s="138"/>
    </row>
    <row r="42" spans="1:6" x14ac:dyDescent="0.25">
      <c r="A42" s="21" t="s">
        <v>78</v>
      </c>
      <c r="B42" s="17" t="s">
        <v>90</v>
      </c>
      <c r="C42" s="18" t="s">
        <v>35</v>
      </c>
      <c r="D42" s="24">
        <f>VLOOKUP(A42,'COMPUTOS METRICOS'!$A$2:$K$880,11,)</f>
        <v>11.56</v>
      </c>
      <c r="E42" s="24"/>
      <c r="F42" s="139">
        <f t="shared" si="0"/>
        <v>11.56</v>
      </c>
    </row>
    <row r="43" spans="1:6" x14ac:dyDescent="0.25">
      <c r="A43" s="21" t="s">
        <v>79</v>
      </c>
      <c r="B43" s="17" t="s">
        <v>91</v>
      </c>
      <c r="C43" s="18" t="s">
        <v>35</v>
      </c>
      <c r="D43" s="24">
        <f>VLOOKUP(A43,'COMPUTOS METRICOS'!$A$2:$K$880,11,)</f>
        <v>25.66</v>
      </c>
      <c r="E43" s="24"/>
      <c r="F43" s="139">
        <f t="shared" si="0"/>
        <v>25.66</v>
      </c>
    </row>
    <row r="44" spans="1:6" x14ac:dyDescent="0.25">
      <c r="A44" s="21" t="s">
        <v>80</v>
      </c>
      <c r="B44" s="17" t="s">
        <v>92</v>
      </c>
      <c r="C44" s="18" t="s">
        <v>35</v>
      </c>
      <c r="D44" s="24">
        <f>VLOOKUP(A44,'COMPUTOS METRICOS'!$A$2:$K$880,11,)</f>
        <v>25.44</v>
      </c>
      <c r="E44" s="24"/>
      <c r="F44" s="139">
        <f t="shared" si="0"/>
        <v>25.44</v>
      </c>
    </row>
    <row r="45" spans="1:6" x14ac:dyDescent="0.25">
      <c r="A45" s="21" t="s">
        <v>81</v>
      </c>
      <c r="B45" s="17" t="s">
        <v>93</v>
      </c>
      <c r="C45" s="18" t="s">
        <v>35</v>
      </c>
      <c r="D45" s="24">
        <f>VLOOKUP(A45,'COMPUTOS METRICOS'!$A$2:$K$880,11,)</f>
        <v>10.6</v>
      </c>
      <c r="E45" s="24"/>
      <c r="F45" s="139">
        <f t="shared" si="0"/>
        <v>10.6</v>
      </c>
    </row>
    <row r="46" spans="1:6" x14ac:dyDescent="0.25">
      <c r="A46" s="21" t="s">
        <v>82</v>
      </c>
      <c r="B46" s="17" t="s">
        <v>94</v>
      </c>
      <c r="C46" s="18" t="s">
        <v>49</v>
      </c>
      <c r="D46" s="24">
        <f>VLOOKUP(A46,'COMPUTOS METRICOS'!$A$2:$K$880,11,)</f>
        <v>3</v>
      </c>
      <c r="E46" s="24"/>
      <c r="F46" s="139">
        <f t="shared" si="0"/>
        <v>3</v>
      </c>
    </row>
    <row r="47" spans="1:6" x14ac:dyDescent="0.25">
      <c r="A47" s="21" t="s">
        <v>83</v>
      </c>
      <c r="B47" s="17" t="s">
        <v>95</v>
      </c>
      <c r="C47" s="18" t="s">
        <v>49</v>
      </c>
      <c r="D47" s="24">
        <f>VLOOKUP(A47,'COMPUTOS METRICOS'!$A$2:$K$880,11,)</f>
        <v>1</v>
      </c>
      <c r="E47" s="24"/>
      <c r="F47" s="139">
        <f t="shared" si="0"/>
        <v>1</v>
      </c>
    </row>
    <row r="48" spans="1:6" x14ac:dyDescent="0.25">
      <c r="A48" s="21" t="s">
        <v>84</v>
      </c>
      <c r="B48" s="17" t="s">
        <v>96</v>
      </c>
      <c r="C48" s="18" t="s">
        <v>35</v>
      </c>
      <c r="D48" s="24">
        <f>VLOOKUP(A48,'COMPUTOS METRICOS'!$A$2:$K$880,11,)</f>
        <v>51.11</v>
      </c>
      <c r="E48" s="24"/>
      <c r="F48" s="139">
        <f t="shared" si="0"/>
        <v>51.11</v>
      </c>
    </row>
    <row r="49" spans="1:6" x14ac:dyDescent="0.25">
      <c r="A49" s="21" t="s">
        <v>85</v>
      </c>
      <c r="B49" s="17" t="s">
        <v>97</v>
      </c>
      <c r="C49" s="18" t="s">
        <v>49</v>
      </c>
      <c r="D49" s="24">
        <f>VLOOKUP(A49,'COMPUTOS METRICOS'!$A$2:$K$880,11,)</f>
        <v>4</v>
      </c>
      <c r="E49" s="24"/>
      <c r="F49" s="139">
        <f t="shared" si="0"/>
        <v>4</v>
      </c>
    </row>
    <row r="50" spans="1:6" x14ac:dyDescent="0.25">
      <c r="A50" s="21" t="s">
        <v>86</v>
      </c>
      <c r="B50" s="17" t="s">
        <v>98</v>
      </c>
      <c r="C50" s="18" t="s">
        <v>49</v>
      </c>
      <c r="D50" s="24">
        <f>VLOOKUP(A50,'COMPUTOS METRICOS'!$A$2:$K$880,11,)</f>
        <v>2</v>
      </c>
      <c r="E50" s="24"/>
      <c r="F50" s="139">
        <f t="shared" si="0"/>
        <v>2</v>
      </c>
    </row>
    <row r="51" spans="1:6" x14ac:dyDescent="0.25">
      <c r="A51" s="21" t="s">
        <v>87</v>
      </c>
      <c r="B51" s="17" t="s">
        <v>99</v>
      </c>
      <c r="C51" s="18" t="s">
        <v>49</v>
      </c>
      <c r="D51" s="24">
        <f>VLOOKUP(A51,'COMPUTOS METRICOS'!$A$2:$K$880,11,)</f>
        <v>2</v>
      </c>
      <c r="E51" s="24"/>
      <c r="F51" s="139">
        <f t="shared" si="0"/>
        <v>2</v>
      </c>
    </row>
    <row r="52" spans="1:6" x14ac:dyDescent="0.25">
      <c r="A52" s="21" t="s">
        <v>88</v>
      </c>
      <c r="B52" s="17" t="s">
        <v>100</v>
      </c>
      <c r="C52" s="18" t="s">
        <v>49</v>
      </c>
      <c r="D52" s="24">
        <f>VLOOKUP(A52,'COMPUTOS METRICOS'!$A$2:$K$880,11,)</f>
        <v>2</v>
      </c>
      <c r="E52" s="24"/>
      <c r="F52" s="139">
        <f t="shared" si="0"/>
        <v>2</v>
      </c>
    </row>
    <row r="53" spans="1:6" x14ac:dyDescent="0.25">
      <c r="A53" s="21" t="s">
        <v>89</v>
      </c>
      <c r="B53" s="17" t="s">
        <v>101</v>
      </c>
      <c r="C53" s="18" t="s">
        <v>49</v>
      </c>
      <c r="D53" s="24">
        <f>VLOOKUP(A53,'COMPUTOS METRICOS'!$A$2:$K$880,11,)</f>
        <v>2</v>
      </c>
      <c r="E53" s="24"/>
      <c r="F53" s="139">
        <f t="shared" si="0"/>
        <v>2</v>
      </c>
    </row>
    <row r="54" spans="1:6" x14ac:dyDescent="0.25">
      <c r="A54" s="137" t="s">
        <v>102</v>
      </c>
      <c r="B54" s="136"/>
      <c r="C54" s="16"/>
      <c r="D54" s="16"/>
      <c r="E54" s="23"/>
      <c r="F54" s="138"/>
    </row>
    <row r="55" spans="1:6" x14ac:dyDescent="0.25">
      <c r="A55" s="21" t="s">
        <v>103</v>
      </c>
      <c r="B55" s="17" t="s">
        <v>108</v>
      </c>
      <c r="C55" s="18" t="s">
        <v>55</v>
      </c>
      <c r="D55" s="24">
        <f>VLOOKUP(A55,'COMPUTOS METRICOS'!$A$2:$K$880,11,)</f>
        <v>6</v>
      </c>
      <c r="E55" s="24"/>
      <c r="F55" s="139">
        <f t="shared" si="0"/>
        <v>6</v>
      </c>
    </row>
    <row r="56" spans="1:6" x14ac:dyDescent="0.25">
      <c r="A56" s="21" t="s">
        <v>104</v>
      </c>
      <c r="B56" s="17" t="s">
        <v>109</v>
      </c>
      <c r="C56" s="18" t="s">
        <v>55</v>
      </c>
      <c r="D56" s="24">
        <f>VLOOKUP(A56,'COMPUTOS METRICOS'!$A$2:$K$880,11,)</f>
        <v>28</v>
      </c>
      <c r="E56" s="24"/>
      <c r="F56" s="139">
        <f t="shared" si="0"/>
        <v>28</v>
      </c>
    </row>
    <row r="57" spans="1:6" x14ac:dyDescent="0.25">
      <c r="A57" s="21" t="s">
        <v>105</v>
      </c>
      <c r="B57" s="17" t="s">
        <v>110</v>
      </c>
      <c r="C57" s="18" t="s">
        <v>49</v>
      </c>
      <c r="D57" s="24">
        <f>VLOOKUP(A57,'COMPUTOS METRICOS'!$A$2:$K$880,11,)</f>
        <v>26</v>
      </c>
      <c r="E57" s="24"/>
      <c r="F57" s="139">
        <f t="shared" si="0"/>
        <v>26</v>
      </c>
    </row>
    <row r="58" spans="1:6" x14ac:dyDescent="0.25">
      <c r="A58" s="21" t="s">
        <v>106</v>
      </c>
      <c r="B58" s="17" t="s">
        <v>111</v>
      </c>
      <c r="C58" s="18" t="s">
        <v>55</v>
      </c>
      <c r="D58" s="24">
        <f>VLOOKUP(A58,'COMPUTOS METRICOS'!$A$2:$K$880,11,)</f>
        <v>6</v>
      </c>
      <c r="E58" s="24"/>
      <c r="F58" s="139">
        <f t="shared" si="0"/>
        <v>6</v>
      </c>
    </row>
    <row r="59" spans="1:6" x14ac:dyDescent="0.25">
      <c r="A59" s="21" t="s">
        <v>107</v>
      </c>
      <c r="B59" s="17" t="s">
        <v>112</v>
      </c>
      <c r="C59" s="18" t="s">
        <v>55</v>
      </c>
      <c r="D59" s="24">
        <f>VLOOKUP(A59,'COMPUTOS METRICOS'!$A$2:$K$880,11,)</f>
        <v>2</v>
      </c>
      <c r="E59" s="24"/>
      <c r="F59" s="139">
        <f t="shared" si="0"/>
        <v>2</v>
      </c>
    </row>
    <row r="60" spans="1:6" x14ac:dyDescent="0.25">
      <c r="A60" s="137" t="s">
        <v>113</v>
      </c>
      <c r="B60" s="136"/>
      <c r="C60" s="16"/>
      <c r="D60" s="16"/>
      <c r="E60" s="16"/>
      <c r="F60" s="138"/>
    </row>
    <row r="61" spans="1:6" x14ac:dyDescent="0.25">
      <c r="A61" s="21" t="s">
        <v>115</v>
      </c>
      <c r="B61" s="17" t="s">
        <v>116</v>
      </c>
      <c r="C61" s="18" t="s">
        <v>28</v>
      </c>
      <c r="D61" s="24">
        <f>VLOOKUP(A61,'COMPUTOS METRICOS'!$A$2:$K$880,11,)</f>
        <v>334.45</v>
      </c>
      <c r="E61" s="24"/>
      <c r="F61" s="139">
        <f t="shared" si="0"/>
        <v>334.45</v>
      </c>
    </row>
    <row r="62" spans="1:6" x14ac:dyDescent="0.25">
      <c r="A62" s="21" t="s">
        <v>114</v>
      </c>
      <c r="B62" s="17" t="s">
        <v>117</v>
      </c>
      <c r="C62" s="18" t="s">
        <v>28</v>
      </c>
      <c r="D62" s="24">
        <f>VLOOKUP(A62,'COMPUTOS METRICOS'!$A$2:$K$880,11,)</f>
        <v>163.24</v>
      </c>
      <c r="E62" s="24"/>
      <c r="F62" s="139">
        <f t="shared" si="0"/>
        <v>163.24</v>
      </c>
    </row>
    <row r="63" spans="1:6" x14ac:dyDescent="0.25">
      <c r="A63" s="21" t="s">
        <v>118</v>
      </c>
      <c r="B63" s="17" t="s">
        <v>200</v>
      </c>
      <c r="C63" s="18" t="s">
        <v>28</v>
      </c>
      <c r="D63" s="24">
        <f>VLOOKUP(A63,'COMPUTOS METRICOS'!$A$2:$K$880,11,)</f>
        <v>22</v>
      </c>
      <c r="E63" s="24"/>
      <c r="F63" s="139">
        <f t="shared" si="0"/>
        <v>22</v>
      </c>
    </row>
    <row r="64" spans="1:6" x14ac:dyDescent="0.25">
      <c r="A64" s="145" t="s">
        <v>119</v>
      </c>
      <c r="B64" s="146" t="s">
        <v>120</v>
      </c>
      <c r="C64" s="147" t="s">
        <v>28</v>
      </c>
      <c r="D64" s="148">
        <f>VLOOKUP(A64,'COMPUTOS METRICOS'!$A$2:$K$880,11,)</f>
        <v>154.22</v>
      </c>
      <c r="E64" s="148"/>
      <c r="F64" s="149">
        <f t="shared" si="0"/>
        <v>154.22</v>
      </c>
    </row>
    <row r="65" spans="1:6" x14ac:dyDescent="0.25">
      <c r="A65" s="192" t="s">
        <v>250</v>
      </c>
      <c r="B65" s="193"/>
      <c r="C65" s="150"/>
      <c r="D65" s="150"/>
      <c r="E65" s="150"/>
      <c r="F65" s="151">
        <f>SUBTOTAL(109,Tabla1[PARCIAL   
  '[Bs.'] ])</f>
        <v>156265.74800000005</v>
      </c>
    </row>
  </sheetData>
  <mergeCells count="4">
    <mergeCell ref="A3:B3"/>
    <mergeCell ref="A1:F1"/>
    <mergeCell ref="C3:F3"/>
    <mergeCell ref="C4:F4"/>
  </mergeCell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83"/>
  <sheetViews>
    <sheetView zoomScaleNormal="100" workbookViewId="0">
      <pane ySplit="3" topLeftCell="A13" activePane="bottomLeft" state="frozen"/>
      <selection pane="bottomLeft" activeCell="G312" sqref="G312"/>
    </sheetView>
  </sheetViews>
  <sheetFormatPr baseColWidth="10" defaultColWidth="11.5703125" defaultRowHeight="12.75" x14ac:dyDescent="0.2"/>
  <cols>
    <col min="1" max="1" width="6.28515625" style="69" bestFit="1" customWidth="1"/>
    <col min="2" max="2" width="35.140625" style="69" customWidth="1"/>
    <col min="3" max="3" width="17.5703125" style="69" customWidth="1"/>
    <col min="4" max="4" width="14.5703125" style="69" bestFit="1" customWidth="1"/>
    <col min="5" max="5" width="5.7109375" style="69" bestFit="1" customWidth="1"/>
    <col min="6" max="6" width="10.42578125" style="55" bestFit="1" customWidth="1"/>
    <col min="7" max="9" width="10.42578125" style="27" customWidth="1"/>
    <col min="10" max="10" width="10.7109375" style="27" bestFit="1" customWidth="1"/>
    <col min="11" max="11" width="6.5703125" style="27" bestFit="1" customWidth="1"/>
    <col min="12" max="16384" width="11.5703125" style="1"/>
  </cols>
  <sheetData>
    <row r="1" spans="1:11" ht="15" x14ac:dyDescent="0.3">
      <c r="A1" s="213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</row>
    <row r="2" spans="1:11" x14ac:dyDescent="0.2">
      <c r="A2" s="209" t="s">
        <v>1</v>
      </c>
      <c r="B2" s="209" t="s">
        <v>2</v>
      </c>
      <c r="C2" s="209" t="s">
        <v>3</v>
      </c>
      <c r="D2" s="209" t="s">
        <v>4</v>
      </c>
      <c r="E2" s="209" t="s">
        <v>12</v>
      </c>
      <c r="F2" s="217" t="s">
        <v>11</v>
      </c>
      <c r="G2" s="214" t="s">
        <v>5</v>
      </c>
      <c r="H2" s="215"/>
      <c r="I2" s="216"/>
      <c r="J2" s="211" t="s">
        <v>9</v>
      </c>
      <c r="K2" s="211" t="s">
        <v>10</v>
      </c>
    </row>
    <row r="3" spans="1:11" ht="25.5" x14ac:dyDescent="0.2">
      <c r="A3" s="210"/>
      <c r="B3" s="210"/>
      <c r="C3" s="210"/>
      <c r="D3" s="210"/>
      <c r="E3" s="210"/>
      <c r="F3" s="218"/>
      <c r="G3" s="28" t="s">
        <v>6</v>
      </c>
      <c r="H3" s="28" t="s">
        <v>7</v>
      </c>
      <c r="I3" s="28" t="s">
        <v>8</v>
      </c>
      <c r="J3" s="212"/>
      <c r="K3" s="212"/>
    </row>
    <row r="4" spans="1:11" ht="13.5" thickBot="1" x14ac:dyDescent="0.25">
      <c r="A4" s="118" t="str">
        <f>'PRESUPUESTO GENERAL '!A7:B7</f>
        <v xml:space="preserve">MODULO I: OBRAS PRELIMINARES </v>
      </c>
      <c r="B4" s="119"/>
      <c r="C4" s="120"/>
      <c r="D4" s="70"/>
      <c r="E4" s="70"/>
      <c r="F4" s="56"/>
      <c r="G4" s="29"/>
      <c r="H4" s="29"/>
      <c r="I4" s="29"/>
      <c r="J4" s="30"/>
      <c r="K4" s="30"/>
    </row>
    <row r="5" spans="1:11" ht="13.5" thickBot="1" x14ac:dyDescent="0.25">
      <c r="A5" s="71" t="str">
        <f>'PRESUPUESTO GENERAL '!A8</f>
        <v>OP 01</v>
      </c>
      <c r="B5" s="72" t="str">
        <f>'PRESUPUESTO GENERAL '!B8</f>
        <v>INSTALACION DE FAENAS</v>
      </c>
      <c r="C5" s="72"/>
      <c r="D5" s="72"/>
      <c r="E5" s="72" t="str">
        <f>'PRESUPUESTO GENERAL '!C8</f>
        <v>Glb</v>
      </c>
      <c r="F5" s="57"/>
      <c r="G5" s="7"/>
      <c r="H5" s="7"/>
      <c r="I5" s="7"/>
      <c r="J5" s="31"/>
      <c r="K5" s="32">
        <f>ROUND(SUM(J6),2)</f>
        <v>1</v>
      </c>
    </row>
    <row r="6" spans="1:11" ht="13.5" thickBot="1" x14ac:dyDescent="0.25">
      <c r="A6" s="73"/>
      <c r="B6" s="74"/>
      <c r="C6" s="74"/>
      <c r="D6" s="74"/>
      <c r="E6" s="74"/>
      <c r="F6" s="58">
        <v>1</v>
      </c>
      <c r="G6" s="4"/>
      <c r="H6" s="4"/>
      <c r="I6" s="4"/>
      <c r="J6" s="4">
        <f>ROUND(PRODUCT(F6:I6),2)</f>
        <v>1</v>
      </c>
      <c r="K6" s="33"/>
    </row>
    <row r="7" spans="1:11" ht="13.5" thickBot="1" x14ac:dyDescent="0.25">
      <c r="A7" s="121" t="str">
        <f>'PRESUPUESTO GENERAL '!A9</f>
        <v>OP 02</v>
      </c>
      <c r="B7" s="110" t="str">
        <f>'PRESUPUESTO GENERAL '!B9</f>
        <v>REPLANTEO</v>
      </c>
      <c r="C7" s="110"/>
      <c r="D7" s="110"/>
      <c r="E7" s="110" t="str">
        <f>'PRESUPUESTO GENERAL '!C9</f>
        <v>m²</v>
      </c>
      <c r="F7" s="111"/>
      <c r="G7" s="112"/>
      <c r="H7" s="112"/>
      <c r="I7" s="112"/>
      <c r="J7" s="122"/>
      <c r="K7" s="49">
        <f>ROUND(SUM(J8:J10),2)</f>
        <v>162.63999999999999</v>
      </c>
    </row>
    <row r="8" spans="1:11" x14ac:dyDescent="0.2">
      <c r="A8" s="123"/>
      <c r="B8" s="124"/>
      <c r="C8" s="124" t="s">
        <v>202</v>
      </c>
      <c r="D8" s="124" t="s">
        <v>203</v>
      </c>
      <c r="E8" s="124"/>
      <c r="F8" s="125">
        <v>16</v>
      </c>
      <c r="G8" s="126">
        <v>1.45</v>
      </c>
      <c r="H8" s="126">
        <v>1.45</v>
      </c>
      <c r="I8" s="126"/>
      <c r="J8" s="129">
        <f>ROUND(PRODUCT(F8:I8),2)</f>
        <v>33.64</v>
      </c>
      <c r="K8" s="127"/>
    </row>
    <row r="9" spans="1:11" x14ac:dyDescent="0.2">
      <c r="A9" s="77"/>
      <c r="B9" s="78"/>
      <c r="C9" s="78" t="s">
        <v>204</v>
      </c>
      <c r="D9" s="78" t="s">
        <v>205</v>
      </c>
      <c r="E9" s="78"/>
      <c r="F9" s="60">
        <v>1</v>
      </c>
      <c r="G9" s="2">
        <v>8</v>
      </c>
      <c r="H9" s="2">
        <v>12</v>
      </c>
      <c r="I9" s="2"/>
      <c r="J9" s="2">
        <f>ROUND(PRODUCT(F9:I9),2)</f>
        <v>96</v>
      </c>
      <c r="K9" s="35"/>
    </row>
    <row r="10" spans="1:11" ht="13.5" thickBot="1" x14ac:dyDescent="0.25">
      <c r="A10" s="73"/>
      <c r="B10" s="74"/>
      <c r="C10" s="74"/>
      <c r="D10" s="74" t="s">
        <v>206</v>
      </c>
      <c r="E10" s="74"/>
      <c r="F10" s="58">
        <v>1</v>
      </c>
      <c r="G10" s="4">
        <v>3</v>
      </c>
      <c r="H10" s="4">
        <v>11</v>
      </c>
      <c r="I10" s="4"/>
      <c r="J10" s="4">
        <f>ROUND(PRODUCT(F10:I10),2)</f>
        <v>33</v>
      </c>
      <c r="K10" s="128"/>
    </row>
    <row r="11" spans="1:11" ht="13.5" thickBot="1" x14ac:dyDescent="0.25">
      <c r="A11" s="130" t="str">
        <f>'PRESUPUESTO GENERAL '!A10:B10</f>
        <v>MODULO II: OBRA GRUESA</v>
      </c>
      <c r="B11" s="131"/>
      <c r="C11" s="131"/>
      <c r="D11" s="131"/>
      <c r="E11" s="131"/>
      <c r="F11" s="132"/>
      <c r="G11" s="133"/>
      <c r="H11" s="133"/>
      <c r="I11" s="133"/>
      <c r="J11" s="134"/>
      <c r="K11" s="135"/>
    </row>
    <row r="12" spans="1:11" x14ac:dyDescent="0.2">
      <c r="A12" s="75" t="str">
        <f>'PRESUPUESTO GENERAL '!A11</f>
        <v>OG 01</v>
      </c>
      <c r="B12" s="76" t="str">
        <f>'PRESUPUESTO GENERAL '!B11</f>
        <v>EXCAVACION EN SUELO SEMIDURO H=1.5M</v>
      </c>
      <c r="C12" s="76"/>
      <c r="D12" s="76"/>
      <c r="E12" s="76" t="str">
        <f>'PRESUPUESTO GENERAL '!C11</f>
        <v>m³</v>
      </c>
      <c r="F12" s="59"/>
      <c r="G12" s="8"/>
      <c r="H12" s="8"/>
      <c r="I12" s="8"/>
      <c r="J12" s="8"/>
      <c r="K12" s="49">
        <f>ROUND(SUM(J13:J20),2)</f>
        <v>59.1</v>
      </c>
    </row>
    <row r="13" spans="1:11" x14ac:dyDescent="0.2">
      <c r="A13" s="77"/>
      <c r="B13" s="78"/>
      <c r="C13" s="78" t="s">
        <v>202</v>
      </c>
      <c r="D13" s="78" t="s">
        <v>207</v>
      </c>
      <c r="E13" s="78"/>
      <c r="F13" s="60">
        <v>16</v>
      </c>
      <c r="G13" s="2">
        <v>1.45</v>
      </c>
      <c r="H13" s="2">
        <v>1.45</v>
      </c>
      <c r="I13" s="2">
        <v>1.45</v>
      </c>
      <c r="J13" s="2">
        <f>ROUND(PRODUCT(F13:I13),2)</f>
        <v>48.78</v>
      </c>
      <c r="K13" s="35"/>
    </row>
    <row r="14" spans="1:11" x14ac:dyDescent="0.2">
      <c r="A14" s="77"/>
      <c r="B14" s="78"/>
      <c r="C14" s="78" t="s">
        <v>204</v>
      </c>
      <c r="D14" s="78" t="s">
        <v>208</v>
      </c>
      <c r="E14" s="78"/>
      <c r="F14" s="60">
        <v>2</v>
      </c>
      <c r="G14" s="2">
        <v>12</v>
      </c>
      <c r="H14" s="2">
        <v>0.3</v>
      </c>
      <c r="I14" s="2">
        <v>0.4</v>
      </c>
      <c r="J14" s="2">
        <f t="shared" ref="J14:J20" si="0">ROUND(PRODUCT(F14:I14),2)</f>
        <v>2.88</v>
      </c>
      <c r="K14" s="35"/>
    </row>
    <row r="15" spans="1:11" x14ac:dyDescent="0.2">
      <c r="A15" s="77"/>
      <c r="B15" s="78"/>
      <c r="C15" s="78"/>
      <c r="D15" s="78" t="s">
        <v>209</v>
      </c>
      <c r="E15" s="78"/>
      <c r="F15" s="60">
        <v>2</v>
      </c>
      <c r="G15" s="2">
        <v>3</v>
      </c>
      <c r="H15" s="2">
        <v>0.3</v>
      </c>
      <c r="I15" s="2">
        <v>0.4</v>
      </c>
      <c r="J15" s="2">
        <f t="shared" si="0"/>
        <v>0.72</v>
      </c>
      <c r="K15" s="35"/>
    </row>
    <row r="16" spans="1:11" x14ac:dyDescent="0.2">
      <c r="A16" s="77"/>
      <c r="B16" s="78"/>
      <c r="C16" s="78"/>
      <c r="D16" s="78" t="s">
        <v>210</v>
      </c>
      <c r="E16" s="78"/>
      <c r="F16" s="60">
        <v>1</v>
      </c>
      <c r="G16" s="2">
        <v>5</v>
      </c>
      <c r="H16" s="2">
        <v>0.3</v>
      </c>
      <c r="I16" s="2">
        <v>0.4</v>
      </c>
      <c r="J16" s="2">
        <f t="shared" si="0"/>
        <v>0.6</v>
      </c>
      <c r="K16" s="35"/>
    </row>
    <row r="17" spans="1:11" x14ac:dyDescent="0.2">
      <c r="A17" s="77"/>
      <c r="B17" s="78"/>
      <c r="C17" s="78"/>
      <c r="D17" s="78" t="s">
        <v>135</v>
      </c>
      <c r="E17" s="78"/>
      <c r="F17" s="60">
        <v>1</v>
      </c>
      <c r="G17" s="2">
        <v>11</v>
      </c>
      <c r="H17" s="2">
        <v>0.3</v>
      </c>
      <c r="I17" s="2">
        <v>0.4</v>
      </c>
      <c r="J17" s="2">
        <f t="shared" si="0"/>
        <v>1.32</v>
      </c>
      <c r="K17" s="35"/>
    </row>
    <row r="18" spans="1:11" x14ac:dyDescent="0.2">
      <c r="A18" s="77"/>
      <c r="B18" s="78"/>
      <c r="C18" s="78"/>
      <c r="D18" s="78" t="s">
        <v>211</v>
      </c>
      <c r="E18" s="78"/>
      <c r="F18" s="60">
        <v>3</v>
      </c>
      <c r="G18" s="2">
        <v>8</v>
      </c>
      <c r="H18" s="2">
        <v>0.3</v>
      </c>
      <c r="I18" s="2">
        <v>0.4</v>
      </c>
      <c r="J18" s="2">
        <f t="shared" si="0"/>
        <v>2.88</v>
      </c>
      <c r="K18" s="35"/>
    </row>
    <row r="19" spans="1:11" ht="13.9" customHeight="1" x14ac:dyDescent="0.2">
      <c r="A19" s="77"/>
      <c r="B19" s="78"/>
      <c r="C19" s="78"/>
      <c r="D19" s="78" t="s">
        <v>212</v>
      </c>
      <c r="E19" s="78"/>
      <c r="F19" s="60">
        <v>1</v>
      </c>
      <c r="G19" s="2">
        <v>3.99</v>
      </c>
      <c r="H19" s="2">
        <v>0.3</v>
      </c>
      <c r="I19" s="2">
        <v>0.4</v>
      </c>
      <c r="J19" s="2">
        <f t="shared" si="0"/>
        <v>0.48</v>
      </c>
      <c r="K19" s="35"/>
    </row>
    <row r="20" spans="1:11" ht="13.9" customHeight="1" thickBot="1" x14ac:dyDescent="0.25">
      <c r="A20" s="79"/>
      <c r="B20" s="80"/>
      <c r="C20" s="80"/>
      <c r="D20" s="80" t="s">
        <v>213</v>
      </c>
      <c r="E20" s="80"/>
      <c r="F20" s="61">
        <v>4</v>
      </c>
      <c r="G20" s="9">
        <v>3</v>
      </c>
      <c r="H20" s="9">
        <v>0.3</v>
      </c>
      <c r="I20" s="9">
        <v>0.4</v>
      </c>
      <c r="J20" s="9">
        <f t="shared" si="0"/>
        <v>1.44</v>
      </c>
      <c r="K20" s="36"/>
    </row>
    <row r="21" spans="1:11" ht="14.25" thickTop="1" thickBot="1" x14ac:dyDescent="0.25">
      <c r="A21" s="81" t="str">
        <f>'PRESUPUESTO GENERAL '!A12</f>
        <v>OG 02</v>
      </c>
      <c r="B21" s="82" t="str">
        <f>'PRESUPUESTO GENERAL '!B12</f>
        <v>ZAPATA  H° A°</v>
      </c>
      <c r="C21" s="82"/>
      <c r="D21" s="82"/>
      <c r="E21" s="82" t="str">
        <f>'PRESUPUESTO GENERAL '!C12</f>
        <v>m³</v>
      </c>
      <c r="F21" s="62"/>
      <c r="G21" s="10"/>
      <c r="H21" s="10"/>
      <c r="I21" s="10"/>
      <c r="J21" s="37"/>
      <c r="K21" s="38">
        <f>ROUND(SUM(J22),2)</f>
        <v>25.06</v>
      </c>
    </row>
    <row r="22" spans="1:11" ht="13.5" thickBot="1" x14ac:dyDescent="0.25">
      <c r="A22" s="79"/>
      <c r="B22" s="80"/>
      <c r="C22" s="80" t="s">
        <v>214</v>
      </c>
      <c r="D22" s="80" t="s">
        <v>207</v>
      </c>
      <c r="E22" s="80"/>
      <c r="F22" s="61">
        <v>16</v>
      </c>
      <c r="G22" s="9">
        <v>1.5660000000000001</v>
      </c>
      <c r="H22" s="9"/>
      <c r="I22" s="9"/>
      <c r="J22" s="9">
        <f>ROUND(PRODUCT(F22:I22),2)</f>
        <v>25.06</v>
      </c>
      <c r="K22" s="39"/>
    </row>
    <row r="23" spans="1:11" ht="14.25" thickTop="1" thickBot="1" x14ac:dyDescent="0.25">
      <c r="A23" s="81" t="str">
        <f>'PRESUPUESTO GENERAL '!A13</f>
        <v>OG 03</v>
      </c>
      <c r="B23" s="82" t="str">
        <f>'PRESUPUESTO GENERAL '!B13</f>
        <v>CIMIENTO DE HORMIGON CICLOPEO (50%PD)</v>
      </c>
      <c r="C23" s="82"/>
      <c r="D23" s="82"/>
      <c r="E23" s="82" t="str">
        <f>'PRESUPUESTO GENERAL '!C13</f>
        <v>m³</v>
      </c>
      <c r="F23" s="62"/>
      <c r="G23" s="10"/>
      <c r="H23" s="10"/>
      <c r="I23" s="10"/>
      <c r="J23" s="37"/>
      <c r="K23" s="38">
        <f>ROUND(SUM(J23:J31),2)</f>
        <v>9.92</v>
      </c>
    </row>
    <row r="24" spans="1:11" x14ac:dyDescent="0.2">
      <c r="A24" s="77"/>
      <c r="B24" s="78"/>
      <c r="C24" s="78"/>
      <c r="D24" s="78" t="s">
        <v>208</v>
      </c>
      <c r="E24" s="78"/>
      <c r="F24" s="60">
        <v>2</v>
      </c>
      <c r="G24" s="2">
        <v>12</v>
      </c>
      <c r="H24" s="2">
        <v>0.3</v>
      </c>
      <c r="I24" s="2">
        <v>0.4</v>
      </c>
      <c r="J24" s="2">
        <f t="shared" ref="J24:J40" si="1">ROUND(PRODUCT(F24:I24),2)</f>
        <v>2.88</v>
      </c>
      <c r="K24" s="40"/>
    </row>
    <row r="25" spans="1:11" x14ac:dyDescent="0.2">
      <c r="A25" s="77"/>
      <c r="B25" s="78"/>
      <c r="C25" s="78"/>
      <c r="D25" s="78" t="s">
        <v>209</v>
      </c>
      <c r="E25" s="78"/>
      <c r="F25" s="60">
        <v>2</v>
      </c>
      <c r="G25" s="2">
        <v>3</v>
      </c>
      <c r="H25" s="2">
        <v>0.3</v>
      </c>
      <c r="I25" s="2">
        <v>0.4</v>
      </c>
      <c r="J25" s="2">
        <f t="shared" si="1"/>
        <v>0.72</v>
      </c>
      <c r="K25" s="41"/>
    </row>
    <row r="26" spans="1:11" x14ac:dyDescent="0.2">
      <c r="A26" s="77"/>
      <c r="B26" s="78"/>
      <c r="C26" s="78"/>
      <c r="D26" s="78" t="s">
        <v>210</v>
      </c>
      <c r="E26" s="78"/>
      <c r="F26" s="60">
        <v>1</v>
      </c>
      <c r="G26" s="2">
        <v>5</v>
      </c>
      <c r="H26" s="2">
        <v>0.3</v>
      </c>
      <c r="I26" s="2">
        <v>0.4</v>
      </c>
      <c r="J26" s="2">
        <f t="shared" si="1"/>
        <v>0.6</v>
      </c>
      <c r="K26" s="41"/>
    </row>
    <row r="27" spans="1:11" x14ac:dyDescent="0.2">
      <c r="A27" s="77"/>
      <c r="B27" s="78"/>
      <c r="C27" s="78"/>
      <c r="D27" s="78" t="s">
        <v>135</v>
      </c>
      <c r="E27" s="78"/>
      <c r="F27" s="60">
        <v>1</v>
      </c>
      <c r="G27" s="2">
        <v>11</v>
      </c>
      <c r="H27" s="2">
        <v>0.3</v>
      </c>
      <c r="I27" s="2">
        <v>0.4</v>
      </c>
      <c r="J27" s="2">
        <f t="shared" si="1"/>
        <v>1.32</v>
      </c>
      <c r="K27" s="41"/>
    </row>
    <row r="28" spans="1:11" x14ac:dyDescent="0.2">
      <c r="A28" s="77"/>
      <c r="B28" s="78"/>
      <c r="C28" s="78"/>
      <c r="D28" s="78" t="s">
        <v>211</v>
      </c>
      <c r="E28" s="78"/>
      <c r="F28" s="60">
        <v>3</v>
      </c>
      <c r="G28" s="2">
        <v>8</v>
      </c>
      <c r="H28" s="2">
        <v>0.3</v>
      </c>
      <c r="I28" s="2">
        <v>0.4</v>
      </c>
      <c r="J28" s="2">
        <f t="shared" si="1"/>
        <v>2.88</v>
      </c>
      <c r="K28" s="41"/>
    </row>
    <row r="29" spans="1:11" x14ac:dyDescent="0.2">
      <c r="A29" s="77"/>
      <c r="B29" s="78"/>
      <c r="C29" s="78"/>
      <c r="D29" s="78" t="s">
        <v>212</v>
      </c>
      <c r="E29" s="78"/>
      <c r="F29" s="60">
        <v>1</v>
      </c>
      <c r="G29" s="2">
        <v>3.99</v>
      </c>
      <c r="H29" s="2">
        <v>0.3</v>
      </c>
      <c r="I29" s="2">
        <v>0.4</v>
      </c>
      <c r="J29" s="2">
        <f t="shared" si="1"/>
        <v>0.48</v>
      </c>
      <c r="K29" s="41"/>
    </row>
    <row r="30" spans="1:11" x14ac:dyDescent="0.2">
      <c r="A30" s="77"/>
      <c r="B30" s="78"/>
      <c r="C30" s="78"/>
      <c r="D30" s="78" t="s">
        <v>213</v>
      </c>
      <c r="E30" s="78"/>
      <c r="F30" s="60">
        <v>4</v>
      </c>
      <c r="G30" s="2">
        <v>3</v>
      </c>
      <c r="H30" s="2">
        <v>0.3</v>
      </c>
      <c r="I30" s="2">
        <v>0.4</v>
      </c>
      <c r="J30" s="2">
        <f t="shared" si="1"/>
        <v>1.44</v>
      </c>
      <c r="K30" s="41"/>
    </row>
    <row r="31" spans="1:11" ht="13.5" thickBot="1" x14ac:dyDescent="0.25">
      <c r="A31" s="79"/>
      <c r="B31" s="80"/>
      <c r="C31" s="80" t="s">
        <v>215</v>
      </c>
      <c r="D31" s="80" t="s">
        <v>216</v>
      </c>
      <c r="E31" s="80"/>
      <c r="F31" s="61">
        <v>-16</v>
      </c>
      <c r="G31" s="9">
        <v>0.25</v>
      </c>
      <c r="H31" s="9">
        <v>0.25</v>
      </c>
      <c r="I31" s="9">
        <v>0.4</v>
      </c>
      <c r="J31" s="9">
        <f t="shared" si="1"/>
        <v>-0.4</v>
      </c>
      <c r="K31" s="42"/>
    </row>
    <row r="32" spans="1:11" ht="14.25" thickTop="1" thickBot="1" x14ac:dyDescent="0.25">
      <c r="A32" s="81" t="str">
        <f>'PRESUPUESTO GENERAL '!A14</f>
        <v>OG 04</v>
      </c>
      <c r="B32" s="82" t="str">
        <f>'PRESUPUESTO GENERAL '!B14</f>
        <v>SOBRECIMIENTO DE HORMIGON CICLOPEO (50%PD)</v>
      </c>
      <c r="C32" s="82"/>
      <c r="D32" s="82"/>
      <c r="E32" s="82" t="str">
        <f>'PRESUPUESTO GENERAL '!C14</f>
        <v>m³</v>
      </c>
      <c r="F32" s="62"/>
      <c r="G32" s="10"/>
      <c r="H32" s="10"/>
      <c r="I32" s="10"/>
      <c r="J32" s="10"/>
      <c r="K32" s="38">
        <f>ROUND(SUM(J32:J44),2)</f>
        <v>6.11</v>
      </c>
    </row>
    <row r="33" spans="1:11" x14ac:dyDescent="0.2">
      <c r="A33" s="83"/>
      <c r="B33" s="84"/>
      <c r="C33" s="84"/>
      <c r="D33" s="84" t="s">
        <v>136</v>
      </c>
      <c r="E33" s="84"/>
      <c r="F33" s="63">
        <v>1</v>
      </c>
      <c r="G33" s="3">
        <v>12.03</v>
      </c>
      <c r="H33" s="3">
        <v>0.2</v>
      </c>
      <c r="I33" s="3">
        <v>0.4</v>
      </c>
      <c r="J33" s="3">
        <f t="shared" si="1"/>
        <v>0.96</v>
      </c>
      <c r="K33" s="40"/>
    </row>
    <row r="34" spans="1:11" x14ac:dyDescent="0.2">
      <c r="A34" s="77"/>
      <c r="B34" s="78"/>
      <c r="C34" s="78"/>
      <c r="D34" s="78" t="s">
        <v>209</v>
      </c>
      <c r="E34" s="78"/>
      <c r="F34" s="60">
        <v>2</v>
      </c>
      <c r="G34" s="2">
        <v>3</v>
      </c>
      <c r="H34" s="2">
        <v>0.2</v>
      </c>
      <c r="I34" s="2">
        <v>0.4</v>
      </c>
      <c r="J34" s="2">
        <f t="shared" si="1"/>
        <v>0.48</v>
      </c>
      <c r="K34" s="41"/>
    </row>
    <row r="35" spans="1:11" x14ac:dyDescent="0.2">
      <c r="A35" s="77"/>
      <c r="B35" s="78"/>
      <c r="C35" s="78"/>
      <c r="D35" s="78" t="s">
        <v>217</v>
      </c>
      <c r="E35" s="78"/>
      <c r="F35" s="60">
        <v>2</v>
      </c>
      <c r="G35" s="2">
        <v>5</v>
      </c>
      <c r="H35" s="2">
        <v>0.2</v>
      </c>
      <c r="I35" s="2">
        <v>0.4</v>
      </c>
      <c r="J35" s="2">
        <f t="shared" si="1"/>
        <v>0.8</v>
      </c>
      <c r="K35" s="41"/>
    </row>
    <row r="36" spans="1:11" x14ac:dyDescent="0.2">
      <c r="A36" s="77"/>
      <c r="B36" s="78"/>
      <c r="C36" s="78"/>
      <c r="D36" s="78" t="s">
        <v>218</v>
      </c>
      <c r="E36" s="78"/>
      <c r="F36" s="60">
        <v>1</v>
      </c>
      <c r="G36" s="2">
        <v>4.03</v>
      </c>
      <c r="H36" s="2">
        <v>0.2</v>
      </c>
      <c r="I36" s="2">
        <v>0.4</v>
      </c>
      <c r="J36" s="2">
        <f t="shared" si="1"/>
        <v>0.32</v>
      </c>
      <c r="K36" s="41"/>
    </row>
    <row r="37" spans="1:11" x14ac:dyDescent="0.2">
      <c r="A37" s="77"/>
      <c r="B37" s="78"/>
      <c r="C37" s="78"/>
      <c r="D37" s="78" t="s">
        <v>135</v>
      </c>
      <c r="E37" s="78"/>
      <c r="F37" s="60">
        <v>1</v>
      </c>
      <c r="G37" s="2">
        <v>11.05</v>
      </c>
      <c r="H37" s="2">
        <v>0.2</v>
      </c>
      <c r="I37" s="2">
        <v>0.4</v>
      </c>
      <c r="J37" s="2">
        <f t="shared" si="1"/>
        <v>0.88</v>
      </c>
      <c r="K37" s="41"/>
    </row>
    <row r="38" spans="1:11" x14ac:dyDescent="0.2">
      <c r="A38" s="77"/>
      <c r="B38" s="78"/>
      <c r="C38" s="78"/>
      <c r="D38" s="78" t="s">
        <v>211</v>
      </c>
      <c r="E38" s="78"/>
      <c r="F38" s="60">
        <v>3</v>
      </c>
      <c r="G38" s="2">
        <v>8.0299999999999994</v>
      </c>
      <c r="H38" s="2">
        <v>0.2</v>
      </c>
      <c r="I38" s="2">
        <v>0.4</v>
      </c>
      <c r="J38" s="2">
        <f t="shared" si="1"/>
        <v>1.93</v>
      </c>
      <c r="K38" s="41"/>
    </row>
    <row r="39" spans="1:11" x14ac:dyDescent="0.2">
      <c r="A39" s="77"/>
      <c r="B39" s="78"/>
      <c r="C39" s="78"/>
      <c r="D39" s="78" t="s">
        <v>219</v>
      </c>
      <c r="E39" s="78"/>
      <c r="F39" s="60">
        <v>1</v>
      </c>
      <c r="G39" s="2">
        <v>2.58</v>
      </c>
      <c r="H39" s="2">
        <v>0.2</v>
      </c>
      <c r="I39" s="2">
        <v>0.4</v>
      </c>
      <c r="J39" s="2">
        <f t="shared" si="1"/>
        <v>0.21</v>
      </c>
      <c r="K39" s="41"/>
    </row>
    <row r="40" spans="1:11" x14ac:dyDescent="0.2">
      <c r="A40" s="77"/>
      <c r="B40" s="78"/>
      <c r="C40" s="78"/>
      <c r="D40" s="78" t="s">
        <v>213</v>
      </c>
      <c r="E40" s="78"/>
      <c r="F40" s="60">
        <v>4</v>
      </c>
      <c r="G40" s="2">
        <v>3.03</v>
      </c>
      <c r="H40" s="2">
        <v>0.2</v>
      </c>
      <c r="I40" s="2">
        <v>0.4</v>
      </c>
      <c r="J40" s="2">
        <f t="shared" si="1"/>
        <v>0.97</v>
      </c>
      <c r="K40" s="41"/>
    </row>
    <row r="41" spans="1:11" x14ac:dyDescent="0.2">
      <c r="A41" s="77"/>
      <c r="B41" s="78"/>
      <c r="C41" s="78" t="s">
        <v>220</v>
      </c>
      <c r="D41" s="78"/>
      <c r="E41" s="78"/>
      <c r="F41" s="60"/>
      <c r="G41" s="2"/>
      <c r="H41" s="2"/>
      <c r="I41" s="2"/>
      <c r="J41" s="2"/>
      <c r="K41" s="41"/>
    </row>
    <row r="42" spans="1:11" x14ac:dyDescent="0.2">
      <c r="A42" s="77"/>
      <c r="B42" s="78"/>
      <c r="C42" s="78"/>
      <c r="D42" s="78" t="s">
        <v>137</v>
      </c>
      <c r="E42" s="78"/>
      <c r="F42" s="60">
        <v>-3</v>
      </c>
      <c r="G42" s="2">
        <v>1</v>
      </c>
      <c r="H42" s="2">
        <v>0.2</v>
      </c>
      <c r="I42" s="2">
        <v>0.4</v>
      </c>
      <c r="J42" s="2">
        <f t="shared" ref="J42" si="2">ROUND(PRODUCT(F42:I42),2)</f>
        <v>-0.24</v>
      </c>
      <c r="K42" s="41"/>
    </row>
    <row r="43" spans="1:11" x14ac:dyDescent="0.2">
      <c r="A43" s="77"/>
      <c r="B43" s="78"/>
      <c r="C43" s="78"/>
      <c r="D43" s="78" t="s">
        <v>138</v>
      </c>
      <c r="E43" s="78"/>
      <c r="F43" s="60">
        <v>-2</v>
      </c>
      <c r="G43" s="2">
        <v>0.9</v>
      </c>
      <c r="H43" s="2">
        <v>0.2</v>
      </c>
      <c r="I43" s="2">
        <v>0.4</v>
      </c>
      <c r="J43" s="2">
        <f t="shared" ref="J43:J44" si="3">ROUND(PRODUCT(F43:I43),2)</f>
        <v>-0.14000000000000001</v>
      </c>
      <c r="K43" s="41"/>
    </row>
    <row r="44" spans="1:11" ht="13.5" thickBot="1" x14ac:dyDescent="0.25">
      <c r="A44" s="79"/>
      <c r="B44" s="80"/>
      <c r="C44" s="80"/>
      <c r="D44" s="80" t="s">
        <v>221</v>
      </c>
      <c r="E44" s="80"/>
      <c r="F44" s="61">
        <v>-1</v>
      </c>
      <c r="G44" s="9">
        <v>0.8</v>
      </c>
      <c r="H44" s="2">
        <v>0.2</v>
      </c>
      <c r="I44" s="2">
        <v>0.4</v>
      </c>
      <c r="J44" s="2">
        <f t="shared" si="3"/>
        <v>-0.06</v>
      </c>
      <c r="K44" s="42"/>
    </row>
    <row r="45" spans="1:11" ht="14.25" thickTop="1" thickBot="1" x14ac:dyDescent="0.25">
      <c r="A45" s="85" t="str">
        <f>'PRESUPUESTO GENERAL '!A15</f>
        <v>OG 05</v>
      </c>
      <c r="B45" s="82" t="str">
        <f>'PRESUPUESTO GENERAL '!B15</f>
        <v>COLUMNA H° A°</v>
      </c>
      <c r="C45" s="82"/>
      <c r="D45" s="82"/>
      <c r="E45" s="82" t="str">
        <f>'PRESUPUESTO GENERAL '!C15</f>
        <v>m³</v>
      </c>
      <c r="F45" s="62"/>
      <c r="G45" s="10"/>
      <c r="H45" s="10"/>
      <c r="I45" s="10"/>
      <c r="J45" s="37"/>
      <c r="K45" s="43">
        <f>ROUND(SUM(J45:J47),2)</f>
        <v>5.98</v>
      </c>
    </row>
    <row r="46" spans="1:11" x14ac:dyDescent="0.2">
      <c r="A46" s="86"/>
      <c r="B46" s="78"/>
      <c r="C46" s="78" t="s">
        <v>222</v>
      </c>
      <c r="D46" s="78" t="s">
        <v>216</v>
      </c>
      <c r="E46" s="78"/>
      <c r="F46" s="60">
        <v>16</v>
      </c>
      <c r="G46" s="2">
        <v>0.25</v>
      </c>
      <c r="H46" s="2">
        <v>0.25</v>
      </c>
      <c r="I46" s="2">
        <v>3.68</v>
      </c>
      <c r="J46" s="2">
        <f t="shared" ref="J46:J47" si="4">ROUND(PRODUCT(F46:I46),2)</f>
        <v>3.68</v>
      </c>
      <c r="K46" s="44"/>
    </row>
    <row r="47" spans="1:11" ht="13.5" thickBot="1" x14ac:dyDescent="0.25">
      <c r="A47" s="87"/>
      <c r="B47" s="80"/>
      <c r="C47" s="80" t="s">
        <v>223</v>
      </c>
      <c r="D47" s="80" t="s">
        <v>207</v>
      </c>
      <c r="E47" s="80"/>
      <c r="F47" s="61">
        <v>16</v>
      </c>
      <c r="G47" s="9">
        <v>0.25</v>
      </c>
      <c r="H47" s="9">
        <v>0.25</v>
      </c>
      <c r="I47" s="9">
        <v>2.2999999999999998</v>
      </c>
      <c r="J47" s="9">
        <f t="shared" si="4"/>
        <v>2.2999999999999998</v>
      </c>
      <c r="K47" s="45"/>
    </row>
    <row r="48" spans="1:11" ht="13.5" thickTop="1" x14ac:dyDescent="0.2">
      <c r="A48" s="81" t="str">
        <f>'PRESUPUESTO GENERAL '!A16</f>
        <v>OG 06</v>
      </c>
      <c r="B48" s="82" t="str">
        <f>'PRESUPUESTO GENERAL '!B16</f>
        <v>IMPERMEABILIZACION SOBRECIMIENTO C/CARTON ASFALTICO</v>
      </c>
      <c r="C48" s="88"/>
      <c r="D48" s="88"/>
      <c r="E48" s="88" t="str">
        <f>'PRESUPUESTO GENERAL '!C16</f>
        <v>m²</v>
      </c>
      <c r="F48" s="64"/>
      <c r="G48" s="12"/>
      <c r="H48" s="12"/>
      <c r="I48" s="12"/>
      <c r="J48" s="12"/>
      <c r="K48" s="46">
        <f>ROUND(SUM(J48:J60),2)</f>
        <v>15.27</v>
      </c>
    </row>
    <row r="49" spans="1:11" x14ac:dyDescent="0.2">
      <c r="A49" s="83"/>
      <c r="B49" s="84"/>
      <c r="C49" s="78"/>
      <c r="D49" s="78" t="s">
        <v>136</v>
      </c>
      <c r="E49" s="78"/>
      <c r="F49" s="60">
        <v>1</v>
      </c>
      <c r="G49" s="2">
        <v>12.03</v>
      </c>
      <c r="H49" s="2">
        <v>0.2</v>
      </c>
      <c r="I49" s="2"/>
      <c r="J49" s="2">
        <f t="shared" ref="J49:J56" si="5">ROUND(PRODUCT(F49:I49),2)</f>
        <v>2.41</v>
      </c>
      <c r="K49" s="41"/>
    </row>
    <row r="50" spans="1:11" x14ac:dyDescent="0.2">
      <c r="A50" s="77"/>
      <c r="B50" s="78"/>
      <c r="C50" s="78"/>
      <c r="D50" s="78" t="s">
        <v>209</v>
      </c>
      <c r="E50" s="78"/>
      <c r="F50" s="60">
        <v>2</v>
      </c>
      <c r="G50" s="2">
        <v>3</v>
      </c>
      <c r="H50" s="2">
        <v>0.2</v>
      </c>
      <c r="I50" s="2"/>
      <c r="J50" s="2">
        <f t="shared" si="5"/>
        <v>1.2</v>
      </c>
      <c r="K50" s="41"/>
    </row>
    <row r="51" spans="1:11" x14ac:dyDescent="0.2">
      <c r="A51" s="77"/>
      <c r="B51" s="78"/>
      <c r="C51" s="78"/>
      <c r="D51" s="78" t="s">
        <v>217</v>
      </c>
      <c r="E51" s="78"/>
      <c r="F51" s="60">
        <v>2</v>
      </c>
      <c r="G51" s="2">
        <v>5</v>
      </c>
      <c r="H51" s="2">
        <v>0.2</v>
      </c>
      <c r="I51" s="2"/>
      <c r="J51" s="2">
        <f t="shared" si="5"/>
        <v>2</v>
      </c>
      <c r="K51" s="41"/>
    </row>
    <row r="52" spans="1:11" x14ac:dyDescent="0.2">
      <c r="A52" s="77"/>
      <c r="B52" s="78"/>
      <c r="C52" s="78"/>
      <c r="D52" s="78" t="s">
        <v>218</v>
      </c>
      <c r="E52" s="78"/>
      <c r="F52" s="60">
        <v>1</v>
      </c>
      <c r="G52" s="2">
        <v>4.03</v>
      </c>
      <c r="H52" s="2">
        <v>0.2</v>
      </c>
      <c r="I52" s="2"/>
      <c r="J52" s="2">
        <f t="shared" si="5"/>
        <v>0.81</v>
      </c>
      <c r="K52" s="41"/>
    </row>
    <row r="53" spans="1:11" x14ac:dyDescent="0.2">
      <c r="A53" s="77"/>
      <c r="B53" s="78"/>
      <c r="C53" s="78"/>
      <c r="D53" s="78" t="s">
        <v>135</v>
      </c>
      <c r="E53" s="78"/>
      <c r="F53" s="60">
        <v>1</v>
      </c>
      <c r="G53" s="2">
        <v>11.05</v>
      </c>
      <c r="H53" s="2">
        <v>0.2</v>
      </c>
      <c r="I53" s="2"/>
      <c r="J53" s="2">
        <f t="shared" si="5"/>
        <v>2.21</v>
      </c>
      <c r="K53" s="41"/>
    </row>
    <row r="54" spans="1:11" x14ac:dyDescent="0.2">
      <c r="A54" s="77"/>
      <c r="B54" s="78"/>
      <c r="C54" s="78"/>
      <c r="D54" s="78" t="s">
        <v>211</v>
      </c>
      <c r="E54" s="78"/>
      <c r="F54" s="60">
        <v>3</v>
      </c>
      <c r="G54" s="2">
        <v>8.0299999999999994</v>
      </c>
      <c r="H54" s="2">
        <v>0.2</v>
      </c>
      <c r="I54" s="2"/>
      <c r="J54" s="2">
        <f t="shared" si="5"/>
        <v>4.82</v>
      </c>
      <c r="K54" s="41"/>
    </row>
    <row r="55" spans="1:11" x14ac:dyDescent="0.2">
      <c r="A55" s="77"/>
      <c r="B55" s="78"/>
      <c r="C55" s="78"/>
      <c r="D55" s="78" t="s">
        <v>219</v>
      </c>
      <c r="E55" s="78"/>
      <c r="F55" s="60">
        <v>1</v>
      </c>
      <c r="G55" s="2">
        <v>2.58</v>
      </c>
      <c r="H55" s="2">
        <v>0.2</v>
      </c>
      <c r="I55" s="2"/>
      <c r="J55" s="2">
        <f t="shared" si="5"/>
        <v>0.52</v>
      </c>
      <c r="K55" s="41"/>
    </row>
    <row r="56" spans="1:11" x14ac:dyDescent="0.2">
      <c r="A56" s="89"/>
      <c r="B56" s="90"/>
      <c r="C56" s="78"/>
      <c r="D56" s="78" t="s">
        <v>213</v>
      </c>
      <c r="E56" s="90"/>
      <c r="F56" s="60">
        <v>4</v>
      </c>
      <c r="G56" s="2">
        <v>3.03</v>
      </c>
      <c r="H56" s="2">
        <v>0.2</v>
      </c>
      <c r="I56" s="11"/>
      <c r="J56" s="2">
        <f t="shared" si="5"/>
        <v>2.42</v>
      </c>
      <c r="K56" s="47"/>
    </row>
    <row r="57" spans="1:11" x14ac:dyDescent="0.2">
      <c r="A57" s="89"/>
      <c r="B57" s="78"/>
      <c r="C57" s="78" t="s">
        <v>220</v>
      </c>
      <c r="D57" s="78"/>
      <c r="E57" s="78"/>
      <c r="F57" s="60"/>
      <c r="G57" s="2"/>
      <c r="H57" s="2"/>
      <c r="I57" s="5"/>
      <c r="J57" s="2"/>
      <c r="K57" s="48"/>
    </row>
    <row r="58" spans="1:11" x14ac:dyDescent="0.2">
      <c r="A58" s="89"/>
      <c r="B58" s="78"/>
      <c r="C58" s="78"/>
      <c r="D58" s="78" t="s">
        <v>137</v>
      </c>
      <c r="E58" s="78"/>
      <c r="F58" s="60">
        <v>-3</v>
      </c>
      <c r="G58" s="2">
        <v>1</v>
      </c>
      <c r="H58" s="2">
        <v>0.2</v>
      </c>
      <c r="I58" s="5"/>
      <c r="J58" s="2">
        <f t="shared" ref="J58:J62" si="6">ROUND(PRODUCT(F58:I58),2)</f>
        <v>-0.6</v>
      </c>
      <c r="K58" s="48"/>
    </row>
    <row r="59" spans="1:11" x14ac:dyDescent="0.2">
      <c r="A59" s="89"/>
      <c r="B59" s="90"/>
      <c r="C59" s="78"/>
      <c r="D59" s="78" t="s">
        <v>138</v>
      </c>
      <c r="E59" s="90"/>
      <c r="F59" s="60">
        <v>-2</v>
      </c>
      <c r="G59" s="2">
        <v>0.9</v>
      </c>
      <c r="H59" s="2">
        <v>0.2</v>
      </c>
      <c r="I59" s="5"/>
      <c r="J59" s="2">
        <f t="shared" si="6"/>
        <v>-0.36</v>
      </c>
      <c r="K59" s="48"/>
    </row>
    <row r="60" spans="1:11" ht="13.5" thickBot="1" x14ac:dyDescent="0.25">
      <c r="A60" s="79"/>
      <c r="B60" s="80"/>
      <c r="C60" s="80"/>
      <c r="D60" s="80" t="s">
        <v>221</v>
      </c>
      <c r="E60" s="80"/>
      <c r="F60" s="61">
        <v>-1</v>
      </c>
      <c r="G60" s="9">
        <v>0.8</v>
      </c>
      <c r="H60" s="9">
        <v>0.2</v>
      </c>
      <c r="I60" s="9"/>
      <c r="J60" s="9">
        <f t="shared" si="6"/>
        <v>-0.16</v>
      </c>
      <c r="K60" s="42"/>
    </row>
    <row r="61" spans="1:11" ht="13.5" thickTop="1" x14ac:dyDescent="0.2">
      <c r="A61" s="91" t="str">
        <f>'PRESUPUESTO GENERAL '!A17</f>
        <v>OG 07</v>
      </c>
      <c r="B61" s="92" t="str">
        <f>'PRESUPUESTO GENERAL '!B17</f>
        <v>MURO DE 6 HUECOS DE 20cm</v>
      </c>
      <c r="C61" s="92"/>
      <c r="D61" s="92"/>
      <c r="E61" s="92" t="str">
        <f>'PRESUPUESTO GENERAL '!C17</f>
        <v>m²</v>
      </c>
      <c r="F61" s="65"/>
      <c r="G61" s="13"/>
      <c r="H61" s="13"/>
      <c r="I61" s="13"/>
      <c r="J61" s="13"/>
      <c r="K61" s="49">
        <f>ROUND(SUM(J61:J80),2)</f>
        <v>163.25</v>
      </c>
    </row>
    <row r="62" spans="1:11" x14ac:dyDescent="0.2">
      <c r="A62" s="78"/>
      <c r="B62" s="78"/>
      <c r="C62" s="78" t="s">
        <v>222</v>
      </c>
      <c r="D62" s="78" t="s">
        <v>136</v>
      </c>
      <c r="E62" s="78"/>
      <c r="F62" s="60">
        <v>1</v>
      </c>
      <c r="G62" s="2">
        <v>12.03</v>
      </c>
      <c r="H62" s="2"/>
      <c r="I62" s="2">
        <v>2.1800000000000002</v>
      </c>
      <c r="J62" s="2">
        <f t="shared" si="6"/>
        <v>26.23</v>
      </c>
      <c r="K62" s="2"/>
    </row>
    <row r="63" spans="1:11" x14ac:dyDescent="0.2">
      <c r="A63" s="78"/>
      <c r="B63" s="78"/>
      <c r="C63" s="78"/>
      <c r="D63" s="78" t="s">
        <v>142</v>
      </c>
      <c r="E63" s="78"/>
      <c r="F63" s="60">
        <v>1</v>
      </c>
      <c r="G63" s="2">
        <v>0.97</v>
      </c>
      <c r="H63" s="2"/>
      <c r="I63" s="2">
        <v>2.1800000000000002</v>
      </c>
      <c r="J63" s="2">
        <f t="shared" ref="J63" si="7">ROUND(PRODUCT(F63:I63),2)</f>
        <v>2.11</v>
      </c>
      <c r="K63" s="2"/>
    </row>
    <row r="64" spans="1:11" x14ac:dyDescent="0.2">
      <c r="A64" s="78"/>
      <c r="B64" s="78"/>
      <c r="C64" s="78"/>
      <c r="D64" s="78" t="s">
        <v>135</v>
      </c>
      <c r="E64" s="78"/>
      <c r="F64" s="60">
        <v>1</v>
      </c>
      <c r="G64" s="2">
        <v>11.05</v>
      </c>
      <c r="H64" s="2"/>
      <c r="I64" s="2">
        <v>2.1800000000000002</v>
      </c>
      <c r="J64" s="2">
        <f t="shared" ref="J64:J70" si="8">ROUND(PRODUCT(F64:I64),2)</f>
        <v>24.09</v>
      </c>
      <c r="K64" s="2"/>
    </row>
    <row r="65" spans="1:11" x14ac:dyDescent="0.2">
      <c r="A65" s="78"/>
      <c r="B65" s="78"/>
      <c r="C65" s="78"/>
      <c r="D65" s="78" t="s">
        <v>143</v>
      </c>
      <c r="E65" s="78"/>
      <c r="F65" s="60">
        <v>2</v>
      </c>
      <c r="G65" s="2">
        <v>8.0299999999999994</v>
      </c>
      <c r="H65" s="2"/>
      <c r="I65" s="2">
        <v>2.1800000000000002</v>
      </c>
      <c r="J65" s="2">
        <f t="shared" si="8"/>
        <v>35.01</v>
      </c>
      <c r="K65" s="2"/>
    </row>
    <row r="66" spans="1:11" x14ac:dyDescent="0.2">
      <c r="A66" s="78"/>
      <c r="B66" s="78"/>
      <c r="C66" s="78"/>
      <c r="D66" s="78" t="s">
        <v>144</v>
      </c>
      <c r="E66" s="78"/>
      <c r="F66" s="60">
        <v>2</v>
      </c>
      <c r="G66" s="2">
        <v>3.03</v>
      </c>
      <c r="H66" s="2"/>
      <c r="I66" s="2">
        <v>2.1800000000000002</v>
      </c>
      <c r="J66" s="2">
        <f t="shared" si="8"/>
        <v>13.21</v>
      </c>
      <c r="K66" s="2"/>
    </row>
    <row r="67" spans="1:11" x14ac:dyDescent="0.2">
      <c r="A67" s="78"/>
      <c r="B67" s="78"/>
      <c r="C67" s="78" t="s">
        <v>224</v>
      </c>
      <c r="D67" s="78"/>
      <c r="E67" s="78"/>
      <c r="F67" s="60"/>
      <c r="G67" s="2"/>
      <c r="H67" s="2"/>
      <c r="I67" s="2"/>
      <c r="J67" s="2"/>
      <c r="K67" s="2"/>
    </row>
    <row r="68" spans="1:11" x14ac:dyDescent="0.2">
      <c r="A68" s="78"/>
      <c r="B68" s="78"/>
      <c r="C68" s="78"/>
      <c r="D68" s="78" t="s">
        <v>145</v>
      </c>
      <c r="E68" s="78"/>
      <c r="F68" s="60">
        <v>-5</v>
      </c>
      <c r="G68" s="2">
        <v>2.2000000000000002</v>
      </c>
      <c r="H68" s="2"/>
      <c r="I68" s="2">
        <v>1.5</v>
      </c>
      <c r="J68" s="2">
        <f t="shared" si="8"/>
        <v>-16.5</v>
      </c>
      <c r="K68" s="2"/>
    </row>
    <row r="69" spans="1:11" x14ac:dyDescent="0.2">
      <c r="A69" s="78"/>
      <c r="B69" s="78"/>
      <c r="C69" s="78"/>
      <c r="D69" s="78" t="s">
        <v>146</v>
      </c>
      <c r="E69" s="78"/>
      <c r="F69" s="60">
        <v>-2</v>
      </c>
      <c r="G69" s="2">
        <v>1.5</v>
      </c>
      <c r="H69" s="2"/>
      <c r="I69" s="2">
        <v>1.5</v>
      </c>
      <c r="J69" s="2">
        <f t="shared" si="8"/>
        <v>-4.5</v>
      </c>
      <c r="K69" s="2"/>
    </row>
    <row r="70" spans="1:11" x14ac:dyDescent="0.2">
      <c r="A70" s="78"/>
      <c r="B70" s="78"/>
      <c r="C70" s="78"/>
      <c r="D70" s="78" t="s">
        <v>147</v>
      </c>
      <c r="E70" s="78"/>
      <c r="F70" s="60">
        <v>-1</v>
      </c>
      <c r="G70" s="2">
        <v>1</v>
      </c>
      <c r="H70" s="2"/>
      <c r="I70" s="2">
        <v>0.8</v>
      </c>
      <c r="J70" s="2">
        <f t="shared" si="8"/>
        <v>-0.8</v>
      </c>
      <c r="K70" s="2"/>
    </row>
    <row r="71" spans="1:11" x14ac:dyDescent="0.2">
      <c r="A71" s="78"/>
      <c r="B71" s="78"/>
      <c r="C71" s="78"/>
      <c r="D71" s="78"/>
      <c r="E71" s="78"/>
      <c r="F71" s="60"/>
      <c r="G71" s="2"/>
      <c r="H71" s="2"/>
      <c r="I71" s="2"/>
      <c r="J71" s="2"/>
      <c r="K71" s="2"/>
    </row>
    <row r="72" spans="1:11" x14ac:dyDescent="0.2">
      <c r="A72" s="78"/>
      <c r="B72" s="78"/>
      <c r="C72" s="78" t="s">
        <v>223</v>
      </c>
      <c r="D72" s="78" t="s">
        <v>136</v>
      </c>
      <c r="E72" s="78"/>
      <c r="F72" s="60">
        <v>1</v>
      </c>
      <c r="G72" s="2">
        <v>12.03</v>
      </c>
      <c r="H72" s="2"/>
      <c r="I72" s="2">
        <v>2.2999999999999998</v>
      </c>
      <c r="J72" s="2">
        <f t="shared" ref="J72:J76" si="9">ROUND(PRODUCT(F72:I72),2)</f>
        <v>27.67</v>
      </c>
      <c r="K72" s="2"/>
    </row>
    <row r="73" spans="1:11" x14ac:dyDescent="0.2">
      <c r="A73" s="78"/>
      <c r="B73" s="78"/>
      <c r="C73" s="78"/>
      <c r="D73" s="78" t="s">
        <v>142</v>
      </c>
      <c r="E73" s="78"/>
      <c r="F73" s="60">
        <v>1</v>
      </c>
      <c r="G73" s="2">
        <v>0.97</v>
      </c>
      <c r="H73" s="2"/>
      <c r="I73" s="2">
        <v>2.2999999999999998</v>
      </c>
      <c r="J73" s="2">
        <f t="shared" si="9"/>
        <v>2.23</v>
      </c>
      <c r="K73" s="2"/>
    </row>
    <row r="74" spans="1:11" x14ac:dyDescent="0.2">
      <c r="A74" s="78"/>
      <c r="B74" s="78"/>
      <c r="C74" s="78"/>
      <c r="D74" s="78" t="s">
        <v>135</v>
      </c>
      <c r="E74" s="78"/>
      <c r="F74" s="60">
        <v>1</v>
      </c>
      <c r="G74" s="2">
        <v>11.05</v>
      </c>
      <c r="H74" s="2"/>
      <c r="I74" s="2">
        <v>2.2999999999999998</v>
      </c>
      <c r="J74" s="2">
        <f t="shared" si="9"/>
        <v>25.42</v>
      </c>
      <c r="K74" s="2"/>
    </row>
    <row r="75" spans="1:11" x14ac:dyDescent="0.2">
      <c r="A75" s="78"/>
      <c r="B75" s="78"/>
      <c r="C75" s="78"/>
      <c r="D75" s="78" t="s">
        <v>143</v>
      </c>
      <c r="E75" s="78"/>
      <c r="F75" s="60">
        <v>2</v>
      </c>
      <c r="G75" s="2">
        <v>8.0299999999999994</v>
      </c>
      <c r="H75" s="2"/>
      <c r="I75" s="2">
        <v>2.2999999999999998</v>
      </c>
      <c r="J75" s="2">
        <f t="shared" si="9"/>
        <v>36.94</v>
      </c>
      <c r="K75" s="2"/>
    </row>
    <row r="76" spans="1:11" x14ac:dyDescent="0.2">
      <c r="A76" s="78"/>
      <c r="B76" s="78"/>
      <c r="C76" s="78"/>
      <c r="D76" s="78" t="s">
        <v>144</v>
      </c>
      <c r="E76" s="78"/>
      <c r="F76" s="60">
        <v>2</v>
      </c>
      <c r="G76" s="2">
        <v>3.03</v>
      </c>
      <c r="H76" s="2"/>
      <c r="I76" s="2">
        <v>2.2999999999999998</v>
      </c>
      <c r="J76" s="2">
        <f t="shared" si="9"/>
        <v>13.94</v>
      </c>
      <c r="K76" s="2"/>
    </row>
    <row r="77" spans="1:11" x14ac:dyDescent="0.2">
      <c r="A77" s="78"/>
      <c r="B77" s="78"/>
      <c r="C77" s="78" t="s">
        <v>224</v>
      </c>
      <c r="D77" s="78"/>
      <c r="E77" s="78"/>
      <c r="F77" s="60"/>
      <c r="G77" s="2"/>
      <c r="H77" s="2"/>
      <c r="I77" s="2"/>
      <c r="J77" s="2"/>
      <c r="K77" s="2"/>
    </row>
    <row r="78" spans="1:11" x14ac:dyDescent="0.2">
      <c r="A78" s="78"/>
      <c r="B78" s="78"/>
      <c r="C78" s="78"/>
      <c r="D78" s="78" t="s">
        <v>145</v>
      </c>
      <c r="E78" s="78"/>
      <c r="F78" s="60">
        <v>-5</v>
      </c>
      <c r="G78" s="2">
        <v>2.2000000000000002</v>
      </c>
      <c r="H78" s="2"/>
      <c r="I78" s="2">
        <v>1.5</v>
      </c>
      <c r="J78" s="2">
        <f t="shared" ref="J78:J84" si="10">ROUND(PRODUCT(F78:I78),2)</f>
        <v>-16.5</v>
      </c>
      <c r="K78" s="2"/>
    </row>
    <row r="79" spans="1:11" x14ac:dyDescent="0.2">
      <c r="A79" s="78"/>
      <c r="B79" s="78"/>
      <c r="C79" s="78"/>
      <c r="D79" s="78" t="s">
        <v>146</v>
      </c>
      <c r="E79" s="78"/>
      <c r="F79" s="60">
        <v>-2</v>
      </c>
      <c r="G79" s="2">
        <v>1.5</v>
      </c>
      <c r="H79" s="2"/>
      <c r="I79" s="2">
        <v>1.5</v>
      </c>
      <c r="J79" s="2">
        <f t="shared" si="10"/>
        <v>-4.5</v>
      </c>
      <c r="K79" s="2"/>
    </row>
    <row r="80" spans="1:11" ht="13.5" thickBot="1" x14ac:dyDescent="0.25">
      <c r="A80" s="80"/>
      <c r="B80" s="80"/>
      <c r="C80" s="80"/>
      <c r="D80" s="80" t="s">
        <v>147</v>
      </c>
      <c r="E80" s="80"/>
      <c r="F80" s="61">
        <v>-1</v>
      </c>
      <c r="G80" s="9">
        <v>1</v>
      </c>
      <c r="H80" s="9"/>
      <c r="I80" s="9">
        <v>0.8</v>
      </c>
      <c r="J80" s="9">
        <f t="shared" si="10"/>
        <v>-0.8</v>
      </c>
      <c r="K80" s="9"/>
    </row>
    <row r="81" spans="1:11" ht="13.5" thickTop="1" x14ac:dyDescent="0.2">
      <c r="A81" s="91" t="str">
        <f>'PRESUPUESTO GENERAL '!A18</f>
        <v>OG 08</v>
      </c>
      <c r="B81" s="92" t="str">
        <f>'PRESUPUESTO GENERAL '!B18</f>
        <v xml:space="preserve">MURO DE 6 HUECOS DE 15 cm  </v>
      </c>
      <c r="C81" s="92"/>
      <c r="D81" s="92"/>
      <c r="E81" s="92" t="str">
        <f>'PRESUPUESTO GENERAL '!C18</f>
        <v>m²</v>
      </c>
      <c r="F81" s="65"/>
      <c r="G81" s="13"/>
      <c r="H81" s="13"/>
      <c r="I81" s="13"/>
      <c r="J81" s="13"/>
      <c r="K81" s="49">
        <f>ROUND(SUM(J81:J98),2)</f>
        <v>117.24</v>
      </c>
    </row>
    <row r="82" spans="1:11" x14ac:dyDescent="0.2">
      <c r="A82" s="78"/>
      <c r="B82" s="78"/>
      <c r="C82" s="78" t="s">
        <v>222</v>
      </c>
      <c r="D82" s="78" t="s">
        <v>210</v>
      </c>
      <c r="E82" s="78"/>
      <c r="F82" s="60">
        <v>1</v>
      </c>
      <c r="G82" s="2">
        <v>5</v>
      </c>
      <c r="H82" s="2"/>
      <c r="I82" s="2">
        <v>2.1800000000000002</v>
      </c>
      <c r="J82" s="2">
        <f t="shared" si="10"/>
        <v>10.9</v>
      </c>
      <c r="K82" s="2"/>
    </row>
    <row r="83" spans="1:11" x14ac:dyDescent="0.2">
      <c r="A83" s="78"/>
      <c r="B83" s="78"/>
      <c r="C83" s="78"/>
      <c r="D83" s="78" t="s">
        <v>225</v>
      </c>
      <c r="E83" s="78"/>
      <c r="F83" s="60">
        <v>2</v>
      </c>
      <c r="G83" s="2">
        <v>4.03</v>
      </c>
      <c r="H83" s="2"/>
      <c r="I83" s="2">
        <v>2.1800000000000002</v>
      </c>
      <c r="J83" s="2">
        <f t="shared" si="10"/>
        <v>17.57</v>
      </c>
      <c r="K83" s="2"/>
    </row>
    <row r="84" spans="1:11" x14ac:dyDescent="0.2">
      <c r="A84" s="78"/>
      <c r="B84" s="78"/>
      <c r="C84" s="78"/>
      <c r="D84" s="78" t="s">
        <v>226</v>
      </c>
      <c r="E84" s="78"/>
      <c r="F84" s="60">
        <v>1</v>
      </c>
      <c r="G84" s="2">
        <v>11.05</v>
      </c>
      <c r="H84" s="2"/>
      <c r="I84" s="2">
        <v>2.1800000000000002</v>
      </c>
      <c r="J84" s="2">
        <f t="shared" si="10"/>
        <v>24.09</v>
      </c>
      <c r="K84" s="2"/>
    </row>
    <row r="85" spans="1:11" x14ac:dyDescent="0.2">
      <c r="A85" s="78"/>
      <c r="B85" s="78"/>
      <c r="C85" s="78"/>
      <c r="D85" s="78" t="s">
        <v>219</v>
      </c>
      <c r="E85" s="78"/>
      <c r="F85" s="60">
        <v>1</v>
      </c>
      <c r="G85" s="2">
        <v>2.58</v>
      </c>
      <c r="H85" s="2"/>
      <c r="I85" s="2">
        <v>2.1800000000000002</v>
      </c>
      <c r="J85" s="2">
        <f t="shared" ref="J85:J89" si="11">ROUND(PRODUCT(F85:I85),2)</f>
        <v>5.62</v>
      </c>
      <c r="K85" s="2"/>
    </row>
    <row r="86" spans="1:11" x14ac:dyDescent="0.2">
      <c r="A86" s="78"/>
      <c r="B86" s="78"/>
      <c r="C86" s="78"/>
      <c r="D86" s="78" t="s">
        <v>227</v>
      </c>
      <c r="E86" s="78"/>
      <c r="F86" s="60">
        <v>1</v>
      </c>
      <c r="G86" s="2">
        <v>3.03</v>
      </c>
      <c r="H86" s="2"/>
      <c r="I86" s="2">
        <v>2.1800000000000002</v>
      </c>
      <c r="J86" s="2">
        <f t="shared" si="11"/>
        <v>6.61</v>
      </c>
      <c r="K86" s="2"/>
    </row>
    <row r="87" spans="1:11" x14ac:dyDescent="0.2">
      <c r="A87" s="78"/>
      <c r="B87" s="78"/>
      <c r="C87" s="78" t="s">
        <v>220</v>
      </c>
      <c r="D87" s="78"/>
      <c r="E87" s="78"/>
      <c r="F87" s="60"/>
      <c r="G87" s="2"/>
      <c r="H87" s="2"/>
      <c r="I87" s="2"/>
      <c r="J87" s="2"/>
      <c r="K87" s="2"/>
    </row>
    <row r="88" spans="1:11" x14ac:dyDescent="0.2">
      <c r="A88" s="78"/>
      <c r="B88" s="78"/>
      <c r="C88" s="78"/>
      <c r="D88" s="78" t="s">
        <v>137</v>
      </c>
      <c r="E88" s="78"/>
      <c r="F88" s="60">
        <v>-3</v>
      </c>
      <c r="G88" s="2">
        <v>1</v>
      </c>
      <c r="H88" s="2"/>
      <c r="I88" s="2">
        <v>1.98</v>
      </c>
      <c r="J88" s="2">
        <f t="shared" si="11"/>
        <v>-5.94</v>
      </c>
      <c r="K88" s="2"/>
    </row>
    <row r="89" spans="1:11" x14ac:dyDescent="0.2">
      <c r="A89" s="78"/>
      <c r="B89" s="78"/>
      <c r="C89" s="78"/>
      <c r="D89" s="78" t="s">
        <v>138</v>
      </c>
      <c r="E89" s="78"/>
      <c r="F89" s="60">
        <v>-1</v>
      </c>
      <c r="G89" s="2">
        <v>0.9</v>
      </c>
      <c r="H89" s="2"/>
      <c r="I89" s="2">
        <v>1.98</v>
      </c>
      <c r="J89" s="2">
        <f t="shared" si="11"/>
        <v>-1.78</v>
      </c>
      <c r="K89" s="2"/>
    </row>
    <row r="90" spans="1:11" x14ac:dyDescent="0.2">
      <c r="A90" s="78"/>
      <c r="B90" s="78"/>
      <c r="C90" s="78"/>
      <c r="D90" s="78"/>
      <c r="E90" s="78"/>
      <c r="F90" s="60"/>
      <c r="G90" s="2"/>
      <c r="H90" s="2"/>
      <c r="I90" s="2"/>
      <c r="J90" s="2"/>
      <c r="K90" s="2"/>
    </row>
    <row r="91" spans="1:11" x14ac:dyDescent="0.2">
      <c r="A91" s="78"/>
      <c r="B91" s="78"/>
      <c r="C91" s="78" t="s">
        <v>228</v>
      </c>
      <c r="D91" s="78" t="s">
        <v>210</v>
      </c>
      <c r="E91" s="78"/>
      <c r="F91" s="60">
        <v>1</v>
      </c>
      <c r="G91" s="2">
        <v>5</v>
      </c>
      <c r="H91" s="2"/>
      <c r="I91" s="2">
        <v>2.2999999999999998</v>
      </c>
      <c r="J91" s="2">
        <f t="shared" ref="J91:J95" si="12">ROUND(PRODUCT(F91:I91),2)</f>
        <v>11.5</v>
      </c>
      <c r="K91" s="2"/>
    </row>
    <row r="92" spans="1:11" x14ac:dyDescent="0.2">
      <c r="A92" s="78"/>
      <c r="B92" s="78"/>
      <c r="C92" s="78"/>
      <c r="D92" s="78" t="s">
        <v>225</v>
      </c>
      <c r="E92" s="78"/>
      <c r="F92" s="60">
        <v>2</v>
      </c>
      <c r="G92" s="2">
        <v>4.03</v>
      </c>
      <c r="H92" s="2"/>
      <c r="I92" s="2">
        <v>2.2999999999999998</v>
      </c>
      <c r="J92" s="2">
        <f t="shared" si="12"/>
        <v>18.54</v>
      </c>
      <c r="K92" s="2"/>
    </row>
    <row r="93" spans="1:11" x14ac:dyDescent="0.2">
      <c r="A93" s="78"/>
      <c r="B93" s="78"/>
      <c r="C93" s="78"/>
      <c r="D93" s="78" t="s">
        <v>226</v>
      </c>
      <c r="E93" s="78"/>
      <c r="F93" s="60">
        <v>1</v>
      </c>
      <c r="G93" s="2">
        <v>11.05</v>
      </c>
      <c r="H93" s="2"/>
      <c r="I93" s="2">
        <v>2.2999999999999998</v>
      </c>
      <c r="J93" s="2">
        <f t="shared" si="12"/>
        <v>25.42</v>
      </c>
      <c r="K93" s="2"/>
    </row>
    <row r="94" spans="1:11" x14ac:dyDescent="0.2">
      <c r="A94" s="78"/>
      <c r="B94" s="78"/>
      <c r="C94" s="78"/>
      <c r="D94" s="78" t="s">
        <v>219</v>
      </c>
      <c r="E94" s="78"/>
      <c r="F94" s="60">
        <v>1</v>
      </c>
      <c r="G94" s="2">
        <v>2.58</v>
      </c>
      <c r="H94" s="2"/>
      <c r="I94" s="2">
        <v>2.2999999999999998</v>
      </c>
      <c r="J94" s="2">
        <f t="shared" si="12"/>
        <v>5.93</v>
      </c>
      <c r="K94" s="2"/>
    </row>
    <row r="95" spans="1:11" x14ac:dyDescent="0.2">
      <c r="A95" s="78"/>
      <c r="B95" s="78"/>
      <c r="C95" s="78"/>
      <c r="D95" s="78" t="s">
        <v>227</v>
      </c>
      <c r="E95" s="78"/>
      <c r="F95" s="60">
        <v>1</v>
      </c>
      <c r="G95" s="2">
        <v>3.03</v>
      </c>
      <c r="H95" s="2"/>
      <c r="I95" s="2">
        <v>2.2999999999999998</v>
      </c>
      <c r="J95" s="2">
        <f t="shared" si="12"/>
        <v>6.97</v>
      </c>
      <c r="K95" s="2"/>
    </row>
    <row r="96" spans="1:11" x14ac:dyDescent="0.2">
      <c r="A96" s="78"/>
      <c r="B96" s="78"/>
      <c r="C96" s="78" t="s">
        <v>220</v>
      </c>
      <c r="D96" s="78"/>
      <c r="E96" s="78"/>
      <c r="F96" s="60"/>
      <c r="G96" s="2"/>
      <c r="H96" s="2"/>
      <c r="I96" s="2"/>
      <c r="J96" s="2"/>
      <c r="K96" s="2"/>
    </row>
    <row r="97" spans="1:11" x14ac:dyDescent="0.2">
      <c r="A97" s="78"/>
      <c r="B97" s="78"/>
      <c r="C97" s="78"/>
      <c r="D97" s="78" t="s">
        <v>137</v>
      </c>
      <c r="E97" s="78"/>
      <c r="F97" s="60">
        <v>-3</v>
      </c>
      <c r="G97" s="2">
        <v>1</v>
      </c>
      <c r="H97" s="2"/>
      <c r="I97" s="2">
        <v>2.1</v>
      </c>
      <c r="J97" s="2">
        <f t="shared" ref="J97:J98" si="13">ROUND(PRODUCT(F97:I97),2)</f>
        <v>-6.3</v>
      </c>
      <c r="K97" s="2"/>
    </row>
    <row r="98" spans="1:11" ht="13.5" thickBot="1" x14ac:dyDescent="0.25">
      <c r="A98" s="80"/>
      <c r="B98" s="80"/>
      <c r="C98" s="80"/>
      <c r="D98" s="80" t="s">
        <v>138</v>
      </c>
      <c r="E98" s="80"/>
      <c r="F98" s="61">
        <v>-1</v>
      </c>
      <c r="G98" s="9">
        <v>0.9</v>
      </c>
      <c r="H98" s="9"/>
      <c r="I98" s="9">
        <v>2.1</v>
      </c>
      <c r="J98" s="9">
        <f t="shared" si="13"/>
        <v>-1.89</v>
      </c>
      <c r="K98" s="9"/>
    </row>
    <row r="99" spans="1:11" ht="13.5" thickTop="1" x14ac:dyDescent="0.2">
      <c r="A99" s="91" t="str">
        <f>'PRESUPUESTO GENERAL '!A19</f>
        <v>OG 09</v>
      </c>
      <c r="B99" s="92" t="str">
        <f>'PRESUPUESTO GENERAL '!B19</f>
        <v xml:space="preserve">MURO de 6 HUECOS DE 10 cm </v>
      </c>
      <c r="C99" s="92"/>
      <c r="D99" s="92"/>
      <c r="E99" s="92" t="str">
        <f>'PRESUPUESTO GENERAL '!C19</f>
        <v>m²</v>
      </c>
      <c r="F99" s="65"/>
      <c r="G99" s="13"/>
      <c r="H99" s="13"/>
      <c r="I99" s="13"/>
      <c r="J99" s="13"/>
      <c r="K99" s="49">
        <f>ROUND(SUM(J99:J108),2)</f>
        <v>23.55</v>
      </c>
    </row>
    <row r="100" spans="1:11" x14ac:dyDescent="0.2">
      <c r="A100" s="78"/>
      <c r="B100" s="78"/>
      <c r="C100" s="78" t="s">
        <v>222</v>
      </c>
      <c r="D100" s="78" t="s">
        <v>209</v>
      </c>
      <c r="E100" s="78"/>
      <c r="F100" s="60">
        <v>2</v>
      </c>
      <c r="G100" s="2">
        <v>3</v>
      </c>
      <c r="H100" s="2"/>
      <c r="I100" s="2">
        <v>2.48</v>
      </c>
      <c r="J100" s="2">
        <f t="shared" ref="J100:J102" si="14">ROUND(PRODUCT(F100:I100),2)</f>
        <v>14.88</v>
      </c>
      <c r="K100" s="2"/>
    </row>
    <row r="101" spans="1:11" x14ac:dyDescent="0.2">
      <c r="A101" s="78"/>
      <c r="B101" s="78"/>
      <c r="C101" s="78" t="s">
        <v>220</v>
      </c>
      <c r="D101" s="78"/>
      <c r="E101" s="78"/>
      <c r="F101" s="60"/>
      <c r="G101" s="2"/>
      <c r="H101" s="2"/>
      <c r="I101" s="2"/>
      <c r="J101" s="2"/>
      <c r="K101" s="2"/>
    </row>
    <row r="102" spans="1:11" x14ac:dyDescent="0.2">
      <c r="A102" s="78"/>
      <c r="B102" s="78"/>
      <c r="C102" s="78"/>
      <c r="D102" s="78" t="s">
        <v>138</v>
      </c>
      <c r="E102" s="78"/>
      <c r="F102" s="60">
        <v>-1</v>
      </c>
      <c r="G102" s="2">
        <v>0.9</v>
      </c>
      <c r="H102" s="2"/>
      <c r="I102" s="2">
        <v>1.98</v>
      </c>
      <c r="J102" s="2">
        <f t="shared" si="14"/>
        <v>-1.78</v>
      </c>
      <c r="K102" s="2"/>
    </row>
    <row r="103" spans="1:11" x14ac:dyDescent="0.2">
      <c r="A103" s="78"/>
      <c r="B103" s="78"/>
      <c r="C103" s="78"/>
      <c r="D103" s="78" t="s">
        <v>139</v>
      </c>
      <c r="E103" s="78"/>
      <c r="F103" s="60">
        <v>-1</v>
      </c>
      <c r="G103" s="2">
        <v>0.8</v>
      </c>
      <c r="H103" s="2"/>
      <c r="I103" s="2">
        <v>1.98</v>
      </c>
      <c r="J103" s="2">
        <f t="shared" ref="J103" si="15">ROUND(PRODUCT(F103:I103),2)</f>
        <v>-1.58</v>
      </c>
      <c r="K103" s="2"/>
    </row>
    <row r="104" spans="1:11" x14ac:dyDescent="0.2">
      <c r="A104" s="78"/>
      <c r="B104" s="78"/>
      <c r="C104" s="78"/>
      <c r="D104" s="78"/>
      <c r="E104" s="78"/>
      <c r="F104" s="60"/>
      <c r="G104" s="2"/>
      <c r="H104" s="2"/>
      <c r="I104" s="2"/>
      <c r="J104" s="2"/>
      <c r="K104" s="2"/>
    </row>
    <row r="105" spans="1:11" x14ac:dyDescent="0.2">
      <c r="A105" s="78"/>
      <c r="B105" s="78"/>
      <c r="C105" s="78" t="s">
        <v>223</v>
      </c>
      <c r="D105" s="78" t="s">
        <v>209</v>
      </c>
      <c r="E105" s="78"/>
      <c r="F105" s="60">
        <v>2</v>
      </c>
      <c r="G105" s="2">
        <v>3</v>
      </c>
      <c r="H105" s="2"/>
      <c r="I105" s="2">
        <v>2.6</v>
      </c>
      <c r="J105" s="2">
        <f t="shared" ref="J105" si="16">ROUND(PRODUCT(F105:I105),2)</f>
        <v>15.6</v>
      </c>
      <c r="K105" s="2"/>
    </row>
    <row r="106" spans="1:11" x14ac:dyDescent="0.2">
      <c r="A106" s="78"/>
      <c r="B106" s="78"/>
      <c r="C106" s="78" t="s">
        <v>220</v>
      </c>
      <c r="D106" s="78"/>
      <c r="E106" s="78"/>
      <c r="F106" s="60"/>
      <c r="G106" s="2"/>
      <c r="H106" s="2"/>
      <c r="I106" s="2"/>
      <c r="J106" s="2"/>
      <c r="K106" s="2"/>
    </row>
    <row r="107" spans="1:11" x14ac:dyDescent="0.2">
      <c r="A107" s="78"/>
      <c r="B107" s="78"/>
      <c r="C107" s="78"/>
      <c r="D107" s="78" t="s">
        <v>138</v>
      </c>
      <c r="E107" s="78"/>
      <c r="F107" s="60">
        <v>-1</v>
      </c>
      <c r="G107" s="2">
        <v>0.9</v>
      </c>
      <c r="H107" s="2"/>
      <c r="I107" s="2">
        <v>2.1</v>
      </c>
      <c r="J107" s="2">
        <f t="shared" ref="J107:J108" si="17">ROUND(PRODUCT(F107:I107),2)</f>
        <v>-1.89</v>
      </c>
      <c r="K107" s="2"/>
    </row>
    <row r="108" spans="1:11" ht="13.5" thickBot="1" x14ac:dyDescent="0.25">
      <c r="A108" s="80"/>
      <c r="B108" s="80"/>
      <c r="C108" s="80"/>
      <c r="D108" s="80" t="s">
        <v>139</v>
      </c>
      <c r="E108" s="80"/>
      <c r="F108" s="61">
        <v>-1</v>
      </c>
      <c r="G108" s="9">
        <v>0.8</v>
      </c>
      <c r="H108" s="9"/>
      <c r="I108" s="9">
        <v>2.1</v>
      </c>
      <c r="J108" s="9">
        <f t="shared" si="17"/>
        <v>-1.68</v>
      </c>
      <c r="K108" s="9"/>
    </row>
    <row r="109" spans="1:11" ht="13.5" thickTop="1" x14ac:dyDescent="0.2">
      <c r="A109" s="91" t="str">
        <f>'PRESUPUESTO GENERAL '!A20</f>
        <v>OG 10</v>
      </c>
      <c r="B109" s="92" t="str">
        <f>'PRESUPUESTO GENERAL '!B20</f>
        <v>VIGA H° A°</v>
      </c>
      <c r="C109" s="92"/>
      <c r="D109" s="92"/>
      <c r="E109" s="92" t="str">
        <f>'PRESUPUESTO GENERAL '!C20</f>
        <v>m³</v>
      </c>
      <c r="F109" s="65"/>
      <c r="G109" s="13"/>
      <c r="H109" s="13"/>
      <c r="I109" s="13"/>
      <c r="J109" s="13"/>
      <c r="K109" s="49">
        <f>ROUND(SUM(J109:J117),2)</f>
        <v>11.94</v>
      </c>
    </row>
    <row r="110" spans="1:11" x14ac:dyDescent="0.2">
      <c r="A110" s="78"/>
      <c r="B110" s="78"/>
      <c r="C110" s="78" t="s">
        <v>222</v>
      </c>
      <c r="D110" s="78" t="s">
        <v>229</v>
      </c>
      <c r="E110" s="78"/>
      <c r="F110" s="60">
        <v>3</v>
      </c>
      <c r="G110" s="2">
        <v>12.03</v>
      </c>
      <c r="H110" s="2">
        <v>0.2</v>
      </c>
      <c r="I110" s="2">
        <v>0.3</v>
      </c>
      <c r="J110" s="2">
        <f t="shared" ref="J110" si="18">ROUND(PRODUCT(F110:I110),2)</f>
        <v>2.17</v>
      </c>
      <c r="K110" s="2"/>
    </row>
    <row r="111" spans="1:11" x14ac:dyDescent="0.2">
      <c r="A111" s="78"/>
      <c r="B111" s="78"/>
      <c r="C111" s="78"/>
      <c r="D111" s="78" t="s">
        <v>230</v>
      </c>
      <c r="E111" s="78"/>
      <c r="F111" s="60">
        <v>1</v>
      </c>
      <c r="G111" s="2">
        <v>11.05</v>
      </c>
      <c r="H111" s="2">
        <v>0.2</v>
      </c>
      <c r="I111" s="2">
        <v>0.3</v>
      </c>
      <c r="J111" s="2">
        <f t="shared" ref="J111" si="19">ROUND(PRODUCT(F111:I111),2)</f>
        <v>0.66</v>
      </c>
      <c r="K111" s="2"/>
    </row>
    <row r="112" spans="1:11" x14ac:dyDescent="0.2">
      <c r="A112" s="78"/>
      <c r="B112" s="78"/>
      <c r="C112" s="78"/>
      <c r="D112" s="78" t="s">
        <v>231</v>
      </c>
      <c r="E112" s="78"/>
      <c r="F112" s="60">
        <v>5</v>
      </c>
      <c r="G112" s="2">
        <v>8.0299999999999994</v>
      </c>
      <c r="H112" s="2">
        <v>0.2</v>
      </c>
      <c r="I112" s="2">
        <v>0.3</v>
      </c>
      <c r="J112" s="2">
        <f t="shared" ref="J112" si="20">ROUND(PRODUCT(F112:I112),2)</f>
        <v>2.41</v>
      </c>
      <c r="K112" s="2"/>
    </row>
    <row r="113" spans="1:11" x14ac:dyDescent="0.2">
      <c r="A113" s="78"/>
      <c r="B113" s="78"/>
      <c r="C113" s="78"/>
      <c r="D113" s="78" t="s">
        <v>232</v>
      </c>
      <c r="E113" s="78"/>
      <c r="F113" s="60">
        <v>4</v>
      </c>
      <c r="G113" s="2">
        <v>3.03</v>
      </c>
      <c r="H113" s="2">
        <v>0.2</v>
      </c>
      <c r="I113" s="2">
        <v>0.3</v>
      </c>
      <c r="J113" s="2">
        <f t="shared" ref="J113:J116" si="21">ROUND(PRODUCT(F113:I113),2)</f>
        <v>0.73</v>
      </c>
      <c r="K113" s="2"/>
    </row>
    <row r="114" spans="1:11" x14ac:dyDescent="0.2">
      <c r="A114" s="78"/>
      <c r="B114" s="78"/>
      <c r="C114" s="78" t="s">
        <v>233</v>
      </c>
      <c r="D114" s="78" t="s">
        <v>229</v>
      </c>
      <c r="E114" s="78"/>
      <c r="F114" s="60">
        <v>3</v>
      </c>
      <c r="G114" s="2">
        <v>12.03</v>
      </c>
      <c r="H114" s="2">
        <v>0.2</v>
      </c>
      <c r="I114" s="2">
        <v>0.3</v>
      </c>
      <c r="J114" s="2">
        <f t="shared" si="21"/>
        <v>2.17</v>
      </c>
      <c r="K114" s="2"/>
    </row>
    <row r="115" spans="1:11" x14ac:dyDescent="0.2">
      <c r="A115" s="78"/>
      <c r="B115" s="78"/>
      <c r="C115" s="78"/>
      <c r="D115" s="78" t="s">
        <v>230</v>
      </c>
      <c r="E115" s="78"/>
      <c r="F115" s="60">
        <v>1</v>
      </c>
      <c r="G115" s="2">
        <v>11.05</v>
      </c>
      <c r="H115" s="2">
        <v>0.2</v>
      </c>
      <c r="I115" s="2">
        <v>0.3</v>
      </c>
      <c r="J115" s="2">
        <f t="shared" si="21"/>
        <v>0.66</v>
      </c>
      <c r="K115" s="2"/>
    </row>
    <row r="116" spans="1:11" x14ac:dyDescent="0.2">
      <c r="A116" s="78"/>
      <c r="B116" s="78"/>
      <c r="C116" s="78"/>
      <c r="D116" s="78" t="s">
        <v>231</v>
      </c>
      <c r="E116" s="78"/>
      <c r="F116" s="60">
        <v>5</v>
      </c>
      <c r="G116" s="2">
        <v>8.0299999999999994</v>
      </c>
      <c r="H116" s="2">
        <v>0.2</v>
      </c>
      <c r="I116" s="2">
        <v>0.3</v>
      </c>
      <c r="J116" s="2">
        <f t="shared" si="21"/>
        <v>2.41</v>
      </c>
      <c r="K116" s="2"/>
    </row>
    <row r="117" spans="1:11" ht="13.5" thickBot="1" x14ac:dyDescent="0.25">
      <c r="A117" s="80"/>
      <c r="B117" s="80"/>
      <c r="C117" s="80"/>
      <c r="D117" s="80" t="s">
        <v>232</v>
      </c>
      <c r="E117" s="80"/>
      <c r="F117" s="61">
        <v>4</v>
      </c>
      <c r="G117" s="9">
        <v>3.03</v>
      </c>
      <c r="H117" s="9">
        <v>0.2</v>
      </c>
      <c r="I117" s="9">
        <v>0.3</v>
      </c>
      <c r="J117" s="9">
        <f t="shared" ref="J117" si="22">ROUND(PRODUCT(F117:I117),2)</f>
        <v>0.73</v>
      </c>
      <c r="K117" s="9"/>
    </row>
    <row r="118" spans="1:11" ht="13.5" thickTop="1" x14ac:dyDescent="0.2">
      <c r="A118" s="91" t="str">
        <f>'PRESUPUESTO GENERAL '!A21</f>
        <v>OG 11</v>
      </c>
      <c r="B118" s="92" t="str">
        <f>'PRESUPUESTO GENERAL '!B21</f>
        <v>LOSA ALIVIANADA H°A°</v>
      </c>
      <c r="C118" s="92"/>
      <c r="D118" s="92"/>
      <c r="E118" s="92" t="str">
        <f>'PRESUPUESTO GENERAL '!C21</f>
        <v>m²</v>
      </c>
      <c r="F118" s="65"/>
      <c r="G118" s="13"/>
      <c r="H118" s="13"/>
      <c r="I118" s="13"/>
      <c r="J118" s="13"/>
      <c r="K118" s="49">
        <f>ROUND(SUM(J119:J120),2)</f>
        <v>122.62</v>
      </c>
    </row>
    <row r="119" spans="1:11" x14ac:dyDescent="0.2">
      <c r="A119" s="78"/>
      <c r="B119" s="78"/>
      <c r="C119" s="78" t="s">
        <v>234</v>
      </c>
      <c r="D119" s="78" t="s">
        <v>236</v>
      </c>
      <c r="E119" s="78"/>
      <c r="F119" s="60">
        <v>1</v>
      </c>
      <c r="G119" s="2">
        <v>8.23</v>
      </c>
      <c r="H119" s="2">
        <v>12.23</v>
      </c>
      <c r="I119" s="2"/>
      <c r="J119" s="2">
        <f t="shared" ref="J119:J130" si="23">ROUND(PRODUCT(F119:I119),2)</f>
        <v>100.65</v>
      </c>
      <c r="K119" s="2"/>
    </row>
    <row r="120" spans="1:11" ht="13.5" thickBot="1" x14ac:dyDescent="0.25">
      <c r="A120" s="80"/>
      <c r="B120" s="80"/>
      <c r="C120" s="80" t="s">
        <v>235</v>
      </c>
      <c r="D120" s="80" t="s">
        <v>237</v>
      </c>
      <c r="E120" s="80"/>
      <c r="F120" s="61">
        <v>1</v>
      </c>
      <c r="G120" s="9">
        <v>3.03</v>
      </c>
      <c r="H120" s="9">
        <v>7.25</v>
      </c>
      <c r="I120" s="9"/>
      <c r="J120" s="9">
        <f t="shared" si="23"/>
        <v>21.97</v>
      </c>
      <c r="K120" s="9"/>
    </row>
    <row r="121" spans="1:11" ht="13.5" thickTop="1" x14ac:dyDescent="0.2">
      <c r="A121" s="93" t="str">
        <f>'PRESUPUESTO GENERAL '!A22</f>
        <v>OG 12</v>
      </c>
      <c r="B121" s="88" t="str">
        <f>'PRESUPUESTO GENERAL '!B22</f>
        <v>ESCALERA H° A°</v>
      </c>
      <c r="C121" s="88"/>
      <c r="D121" s="88"/>
      <c r="E121" s="88" t="str">
        <f>'PRESUPUESTO GENERAL '!C22</f>
        <v>m³</v>
      </c>
      <c r="F121" s="64"/>
      <c r="G121" s="12"/>
      <c r="H121" s="12"/>
      <c r="I121" s="12"/>
      <c r="J121" s="12"/>
      <c r="K121" s="46">
        <f>ROUND(SUM(J121:J123),2)</f>
        <v>1.1200000000000001</v>
      </c>
    </row>
    <row r="122" spans="1:11" x14ac:dyDescent="0.2">
      <c r="A122" s="78"/>
      <c r="B122" s="78"/>
      <c r="C122" s="78"/>
      <c r="D122" s="78" t="s">
        <v>238</v>
      </c>
      <c r="E122" s="78"/>
      <c r="F122" s="60">
        <v>14</v>
      </c>
      <c r="G122" s="2">
        <v>1</v>
      </c>
      <c r="H122" s="2">
        <v>0.3</v>
      </c>
      <c r="I122" s="2">
        <v>0.18</v>
      </c>
      <c r="J122" s="2">
        <f t="shared" si="23"/>
        <v>0.76</v>
      </c>
      <c r="K122" s="2"/>
    </row>
    <row r="123" spans="1:11" ht="13.5" thickBot="1" x14ac:dyDescent="0.25">
      <c r="A123" s="80"/>
      <c r="B123" s="80"/>
      <c r="C123" s="80"/>
      <c r="D123" s="80" t="s">
        <v>239</v>
      </c>
      <c r="E123" s="80"/>
      <c r="F123" s="61">
        <v>2</v>
      </c>
      <c r="G123" s="9">
        <v>1</v>
      </c>
      <c r="H123" s="9">
        <v>1</v>
      </c>
      <c r="I123" s="9">
        <v>0.18</v>
      </c>
      <c r="J123" s="9">
        <f t="shared" si="23"/>
        <v>0.36</v>
      </c>
      <c r="K123" s="9"/>
    </row>
    <row r="124" spans="1:11" ht="13.5" thickTop="1" x14ac:dyDescent="0.2">
      <c r="A124" s="82" t="str">
        <f>'PRESUPUESTO GENERAL '!A23</f>
        <v>OG 13</v>
      </c>
      <c r="B124" s="82" t="str">
        <f>'PRESUPUESTO GENERAL '!B23</f>
        <v xml:space="preserve">CUBIERTA DE CALAMINA ONDULADA </v>
      </c>
      <c r="C124" s="82"/>
      <c r="D124" s="82"/>
      <c r="E124" s="82" t="str">
        <f>'PRESUPUESTO GENERAL '!C23</f>
        <v>m²</v>
      </c>
      <c r="F124" s="62"/>
      <c r="G124" s="10"/>
      <c r="H124" s="10"/>
      <c r="I124" s="10"/>
      <c r="J124" s="10"/>
      <c r="K124" s="50">
        <f>ROUND(SUM(J125:J126),2)</f>
        <v>154.22</v>
      </c>
    </row>
    <row r="125" spans="1:11" x14ac:dyDescent="0.2">
      <c r="A125" s="78"/>
      <c r="B125" s="78"/>
      <c r="C125" s="78" t="s">
        <v>157</v>
      </c>
      <c r="D125" s="78" t="s">
        <v>240</v>
      </c>
      <c r="E125" s="78"/>
      <c r="F125" s="60">
        <v>1</v>
      </c>
      <c r="G125" s="2">
        <v>6.01</v>
      </c>
      <c r="H125" s="2">
        <v>12.83</v>
      </c>
      <c r="I125" s="2"/>
      <c r="J125" s="2">
        <f t="shared" si="23"/>
        <v>77.11</v>
      </c>
      <c r="K125" s="2"/>
    </row>
    <row r="126" spans="1:11" ht="13.5" thickBot="1" x14ac:dyDescent="0.25">
      <c r="A126" s="80"/>
      <c r="B126" s="80"/>
      <c r="C126" s="80" t="s">
        <v>158</v>
      </c>
      <c r="D126" s="80" t="s">
        <v>241</v>
      </c>
      <c r="E126" s="80"/>
      <c r="F126" s="61">
        <v>1</v>
      </c>
      <c r="G126" s="9">
        <v>6.01</v>
      </c>
      <c r="H126" s="9">
        <v>12.83</v>
      </c>
      <c r="I126" s="9"/>
      <c r="J126" s="9">
        <f t="shared" si="23"/>
        <v>77.11</v>
      </c>
      <c r="K126" s="51"/>
    </row>
    <row r="127" spans="1:11" ht="13.5" thickTop="1" x14ac:dyDescent="0.2">
      <c r="A127" s="82" t="str">
        <f>'PRESUPUESTO GENERAL '!A24</f>
        <v>OG 14</v>
      </c>
      <c r="B127" s="82" t="str">
        <f>'PRESUPUESTO GENERAL '!B24</f>
        <v>DINTEL H° A°</v>
      </c>
      <c r="C127" s="82"/>
      <c r="D127" s="82"/>
      <c r="E127" s="82" t="str">
        <f>'PRESUPUESTO GENERAL '!C24</f>
        <v>m</v>
      </c>
      <c r="F127" s="62"/>
      <c r="G127" s="10"/>
      <c r="H127" s="10"/>
      <c r="I127" s="10"/>
      <c r="J127" s="10"/>
      <c r="K127" s="46">
        <f>ROUND(SUM(J128:J133),2)</f>
        <v>13.6</v>
      </c>
    </row>
    <row r="128" spans="1:11" x14ac:dyDescent="0.2">
      <c r="A128" s="78"/>
      <c r="B128" s="78"/>
      <c r="C128" s="78" t="s">
        <v>222</v>
      </c>
      <c r="D128" s="78" t="s">
        <v>137</v>
      </c>
      <c r="E128" s="78"/>
      <c r="F128" s="60">
        <v>3</v>
      </c>
      <c r="G128" s="2">
        <v>1.2</v>
      </c>
      <c r="H128" s="2"/>
      <c r="I128" s="2"/>
      <c r="J128" s="2">
        <f t="shared" si="23"/>
        <v>3.6</v>
      </c>
      <c r="K128" s="2"/>
    </row>
    <row r="129" spans="1:11" x14ac:dyDescent="0.2">
      <c r="A129" s="78"/>
      <c r="B129" s="78"/>
      <c r="C129" s="78"/>
      <c r="D129" s="78" t="s">
        <v>138</v>
      </c>
      <c r="E129" s="78"/>
      <c r="F129" s="60">
        <v>2</v>
      </c>
      <c r="G129" s="2">
        <v>1.1000000000000001</v>
      </c>
      <c r="H129" s="2"/>
      <c r="I129" s="2"/>
      <c r="J129" s="2">
        <f t="shared" si="23"/>
        <v>2.2000000000000002</v>
      </c>
      <c r="K129" s="2"/>
    </row>
    <row r="130" spans="1:11" x14ac:dyDescent="0.2">
      <c r="A130" s="78"/>
      <c r="B130" s="78"/>
      <c r="C130" s="78"/>
      <c r="D130" s="78" t="s">
        <v>139</v>
      </c>
      <c r="E130" s="78"/>
      <c r="F130" s="60">
        <v>1</v>
      </c>
      <c r="G130" s="2">
        <v>1</v>
      </c>
      <c r="H130" s="2"/>
      <c r="I130" s="2"/>
      <c r="J130" s="2">
        <f t="shared" si="23"/>
        <v>1</v>
      </c>
      <c r="K130" s="2"/>
    </row>
    <row r="131" spans="1:11" x14ac:dyDescent="0.2">
      <c r="A131" s="78"/>
      <c r="B131" s="78"/>
      <c r="C131" s="78" t="s">
        <v>222</v>
      </c>
      <c r="D131" s="78" t="s">
        <v>137</v>
      </c>
      <c r="E131" s="78"/>
      <c r="F131" s="60">
        <v>3</v>
      </c>
      <c r="G131" s="2">
        <v>1.2</v>
      </c>
      <c r="H131" s="2"/>
      <c r="I131" s="2"/>
      <c r="J131" s="2">
        <f t="shared" ref="J131:J133" si="24">ROUND(PRODUCT(F131:I131),2)</f>
        <v>3.6</v>
      </c>
      <c r="K131" s="2"/>
    </row>
    <row r="132" spans="1:11" x14ac:dyDescent="0.2">
      <c r="A132" s="78"/>
      <c r="B132" s="78"/>
      <c r="C132" s="78"/>
      <c r="D132" s="78" t="s">
        <v>138</v>
      </c>
      <c r="E132" s="78"/>
      <c r="F132" s="60">
        <v>2</v>
      </c>
      <c r="G132" s="2">
        <v>1.1000000000000001</v>
      </c>
      <c r="H132" s="2"/>
      <c r="I132" s="2"/>
      <c r="J132" s="2">
        <f t="shared" si="24"/>
        <v>2.2000000000000002</v>
      </c>
      <c r="K132" s="2"/>
    </row>
    <row r="133" spans="1:11" ht="13.5" thickBot="1" x14ac:dyDescent="0.25">
      <c r="A133" s="80"/>
      <c r="B133" s="80"/>
      <c r="C133" s="80"/>
      <c r="D133" s="80" t="s">
        <v>139</v>
      </c>
      <c r="E133" s="80"/>
      <c r="F133" s="61">
        <v>1</v>
      </c>
      <c r="G133" s="9">
        <v>1</v>
      </c>
      <c r="H133" s="9"/>
      <c r="I133" s="9"/>
      <c r="J133" s="9">
        <f t="shared" si="24"/>
        <v>1</v>
      </c>
      <c r="K133" s="9"/>
    </row>
    <row r="134" spans="1:11" ht="13.5" thickTop="1" x14ac:dyDescent="0.2">
      <c r="A134" s="94" t="str">
        <f>'PRESUPUESTO GENERAL '!A25</f>
        <v>MODULO III: OBRA FINA</v>
      </c>
      <c r="B134" s="95"/>
      <c r="C134" s="95"/>
      <c r="D134" s="95"/>
      <c r="E134" s="95"/>
      <c r="F134" s="66"/>
      <c r="G134" s="6"/>
      <c r="H134" s="6"/>
      <c r="I134" s="6"/>
      <c r="J134" s="6"/>
      <c r="K134" s="52"/>
    </row>
    <row r="135" spans="1:11" x14ac:dyDescent="0.2">
      <c r="A135" s="96" t="str">
        <f>'PRESUPUESTO GENERAL '!A26</f>
        <v>OF 01</v>
      </c>
      <c r="B135" s="97" t="str">
        <f>'PRESUPUESTO GENERAL '!B26</f>
        <v>BOTAGUAS DE H° A°</v>
      </c>
      <c r="C135" s="97"/>
      <c r="D135" s="97"/>
      <c r="E135" s="97" t="str">
        <f>'PRESUPUESTO GENERAL '!C26</f>
        <v>m</v>
      </c>
      <c r="F135" s="67"/>
      <c r="G135" s="14"/>
      <c r="H135" s="14"/>
      <c r="I135" s="14"/>
      <c r="J135" s="14"/>
      <c r="K135" s="53">
        <f>ROUND(SUM(J135:J141),2)</f>
        <v>33.200000000000003</v>
      </c>
    </row>
    <row r="136" spans="1:11" x14ac:dyDescent="0.2">
      <c r="A136" s="78"/>
      <c r="B136" s="78"/>
      <c r="C136" s="78" t="s">
        <v>222</v>
      </c>
      <c r="D136" s="78" t="s">
        <v>145</v>
      </c>
      <c r="E136" s="78"/>
      <c r="F136" s="60">
        <v>5</v>
      </c>
      <c r="G136" s="2">
        <v>2.4</v>
      </c>
      <c r="H136" s="2"/>
      <c r="I136" s="2"/>
      <c r="J136" s="2">
        <f t="shared" ref="J136:J138" si="25">ROUND(PRODUCT(F136:I136),2)</f>
        <v>12</v>
      </c>
      <c r="K136" s="2"/>
    </row>
    <row r="137" spans="1:11" x14ac:dyDescent="0.2">
      <c r="A137" s="78"/>
      <c r="B137" s="78"/>
      <c r="C137" s="78"/>
      <c r="D137" s="78" t="s">
        <v>146</v>
      </c>
      <c r="E137" s="78"/>
      <c r="F137" s="60">
        <v>2</v>
      </c>
      <c r="G137" s="2">
        <v>1.7</v>
      </c>
      <c r="H137" s="2"/>
      <c r="I137" s="2"/>
      <c r="J137" s="2">
        <f t="shared" si="25"/>
        <v>3.4</v>
      </c>
      <c r="K137" s="2"/>
    </row>
    <row r="138" spans="1:11" x14ac:dyDescent="0.2">
      <c r="A138" s="78"/>
      <c r="B138" s="78"/>
      <c r="C138" s="78"/>
      <c r="D138" s="78" t="s">
        <v>147</v>
      </c>
      <c r="E138" s="78"/>
      <c r="F138" s="60">
        <v>1</v>
      </c>
      <c r="G138" s="2">
        <v>1.2</v>
      </c>
      <c r="H138" s="2"/>
      <c r="I138" s="2"/>
      <c r="J138" s="2">
        <f t="shared" si="25"/>
        <v>1.2</v>
      </c>
      <c r="K138" s="2"/>
    </row>
    <row r="139" spans="1:11" x14ac:dyDescent="0.2">
      <c r="A139" s="78"/>
      <c r="B139" s="78"/>
      <c r="C139" s="78" t="s">
        <v>228</v>
      </c>
      <c r="D139" s="78" t="s">
        <v>145</v>
      </c>
      <c r="E139" s="78"/>
      <c r="F139" s="60">
        <v>5</v>
      </c>
      <c r="G139" s="2">
        <v>2.4</v>
      </c>
      <c r="H139" s="2"/>
      <c r="I139" s="2"/>
      <c r="J139" s="2">
        <f t="shared" ref="J139:J150" si="26">ROUND(PRODUCT(F139:I139),2)</f>
        <v>12</v>
      </c>
      <c r="K139" s="2"/>
    </row>
    <row r="140" spans="1:11" x14ac:dyDescent="0.2">
      <c r="A140" s="78"/>
      <c r="B140" s="78"/>
      <c r="C140" s="78"/>
      <c r="D140" s="78" t="s">
        <v>146</v>
      </c>
      <c r="E140" s="78"/>
      <c r="F140" s="60">
        <v>2</v>
      </c>
      <c r="G140" s="2">
        <v>1.7</v>
      </c>
      <c r="H140" s="2"/>
      <c r="I140" s="2"/>
      <c r="J140" s="2">
        <f t="shared" si="26"/>
        <v>3.4</v>
      </c>
      <c r="K140" s="2"/>
    </row>
    <row r="141" spans="1:11" ht="13.5" thickBot="1" x14ac:dyDescent="0.25">
      <c r="A141" s="80"/>
      <c r="B141" s="80"/>
      <c r="C141" s="80"/>
      <c r="D141" s="80" t="s">
        <v>147</v>
      </c>
      <c r="E141" s="80"/>
      <c r="F141" s="61">
        <v>1</v>
      </c>
      <c r="G141" s="9">
        <v>1.2</v>
      </c>
      <c r="H141" s="9"/>
      <c r="I141" s="9"/>
      <c r="J141" s="9">
        <f t="shared" si="26"/>
        <v>1.2</v>
      </c>
      <c r="K141" s="9"/>
    </row>
    <row r="142" spans="1:11" ht="13.5" thickTop="1" x14ac:dyDescent="0.2">
      <c r="A142" s="91" t="str">
        <f>'PRESUPUESTO GENERAL '!A27</f>
        <v>OF 02</v>
      </c>
      <c r="B142" s="92" t="str">
        <f>'PRESUPUESTO GENERAL '!B27</f>
        <v>EMPEDRADO Y CONTRAPISO DE H°</v>
      </c>
      <c r="C142" s="92"/>
      <c r="D142" s="92"/>
      <c r="E142" s="92" t="str">
        <f>'PRESUPUESTO GENERAL '!C27</f>
        <v>m²</v>
      </c>
      <c r="F142" s="65"/>
      <c r="G142" s="13"/>
      <c r="H142" s="13"/>
      <c r="I142" s="13"/>
      <c r="J142" s="13"/>
      <c r="K142" s="49">
        <f>ROUND(SUM(J142:J150),2)</f>
        <v>109.54</v>
      </c>
    </row>
    <row r="143" spans="1:11" x14ac:dyDescent="0.2">
      <c r="A143" s="78"/>
      <c r="B143" s="78"/>
      <c r="C143" s="78" t="s">
        <v>222</v>
      </c>
      <c r="D143" s="78" t="s">
        <v>242</v>
      </c>
      <c r="E143" s="78"/>
      <c r="F143" s="60">
        <v>1</v>
      </c>
      <c r="G143" s="2">
        <v>4.83</v>
      </c>
      <c r="H143" s="2">
        <v>3.84</v>
      </c>
      <c r="I143" s="2"/>
      <c r="J143" s="2">
        <f t="shared" si="26"/>
        <v>18.55</v>
      </c>
      <c r="K143" s="2"/>
    </row>
    <row r="144" spans="1:11" x14ac:dyDescent="0.2">
      <c r="A144" s="78"/>
      <c r="B144" s="78"/>
      <c r="C144" s="78"/>
      <c r="D144" s="78" t="s">
        <v>243</v>
      </c>
      <c r="E144" s="78"/>
      <c r="F144" s="60">
        <v>1</v>
      </c>
      <c r="G144" s="2">
        <v>4.83</v>
      </c>
      <c r="H144" s="2">
        <v>3.86</v>
      </c>
      <c r="I144" s="2"/>
      <c r="J144" s="2">
        <f t="shared" si="26"/>
        <v>18.64</v>
      </c>
      <c r="K144" s="2"/>
    </row>
    <row r="145" spans="1:11" x14ac:dyDescent="0.2">
      <c r="A145" s="78"/>
      <c r="B145" s="78"/>
      <c r="C145" s="78"/>
      <c r="D145" s="78" t="s">
        <v>244</v>
      </c>
      <c r="E145" s="78"/>
      <c r="F145" s="60">
        <v>1</v>
      </c>
      <c r="G145" s="2">
        <v>3.85</v>
      </c>
      <c r="H145" s="2">
        <v>2.85</v>
      </c>
      <c r="I145" s="2"/>
      <c r="J145" s="2">
        <f t="shared" si="26"/>
        <v>10.97</v>
      </c>
      <c r="K145" s="2"/>
    </row>
    <row r="146" spans="1:11" x14ac:dyDescent="0.2">
      <c r="A146" s="78"/>
      <c r="B146" s="78"/>
      <c r="C146" s="78"/>
      <c r="D146" s="78" t="s">
        <v>245</v>
      </c>
      <c r="E146" s="78"/>
      <c r="F146" s="60">
        <v>1</v>
      </c>
      <c r="G146" s="2">
        <v>2.85</v>
      </c>
      <c r="H146" s="2">
        <v>1.43</v>
      </c>
      <c r="I146" s="2"/>
      <c r="J146" s="2">
        <f t="shared" si="26"/>
        <v>4.08</v>
      </c>
      <c r="K146" s="2"/>
    </row>
    <row r="147" spans="1:11" x14ac:dyDescent="0.2">
      <c r="A147" s="78"/>
      <c r="B147" s="78"/>
      <c r="C147" s="78"/>
      <c r="D147" s="78" t="s">
        <v>246</v>
      </c>
      <c r="E147" s="78"/>
      <c r="F147" s="60">
        <v>1</v>
      </c>
      <c r="G147" s="2">
        <v>2.85</v>
      </c>
      <c r="H147" s="2">
        <v>6.79</v>
      </c>
      <c r="I147" s="2"/>
      <c r="J147" s="2">
        <f t="shared" si="26"/>
        <v>19.350000000000001</v>
      </c>
      <c r="K147" s="2"/>
    </row>
    <row r="148" spans="1:11" x14ac:dyDescent="0.2">
      <c r="A148" s="78"/>
      <c r="B148" s="78"/>
      <c r="C148" s="78"/>
      <c r="D148" s="78" t="s">
        <v>247</v>
      </c>
      <c r="E148" s="78"/>
      <c r="F148" s="60">
        <v>1</v>
      </c>
      <c r="G148" s="2">
        <v>2.85</v>
      </c>
      <c r="H148" s="2">
        <v>2.4300000000000002</v>
      </c>
      <c r="I148" s="2"/>
      <c r="J148" s="2">
        <f t="shared" si="26"/>
        <v>6.93</v>
      </c>
      <c r="K148" s="2"/>
    </row>
    <row r="149" spans="1:11" x14ac:dyDescent="0.2">
      <c r="A149" s="78"/>
      <c r="B149" s="78"/>
      <c r="C149" s="78"/>
      <c r="D149" s="78" t="s">
        <v>248</v>
      </c>
      <c r="E149" s="78"/>
      <c r="F149" s="60">
        <v>1</v>
      </c>
      <c r="G149" s="2">
        <v>4</v>
      </c>
      <c r="H149" s="2">
        <v>5.32</v>
      </c>
      <c r="I149" s="2"/>
      <c r="J149" s="2">
        <f t="shared" si="26"/>
        <v>21.28</v>
      </c>
      <c r="K149" s="2"/>
    </row>
    <row r="150" spans="1:11" ht="13.5" thickBot="1" x14ac:dyDescent="0.25">
      <c r="A150" s="80"/>
      <c r="B150" s="80"/>
      <c r="C150" s="80"/>
      <c r="D150" s="80" t="s">
        <v>249</v>
      </c>
      <c r="E150" s="80"/>
      <c r="F150" s="61">
        <v>1</v>
      </c>
      <c r="G150" s="9">
        <v>3.85</v>
      </c>
      <c r="H150" s="9">
        <v>2.5299999999999998</v>
      </c>
      <c r="I150" s="9"/>
      <c r="J150" s="9">
        <f t="shared" si="26"/>
        <v>9.74</v>
      </c>
      <c r="K150" s="9"/>
    </row>
    <row r="151" spans="1:11" ht="13.5" thickTop="1" x14ac:dyDescent="0.2">
      <c r="A151" s="91" t="str">
        <f>'PRESUPUESTO GENERAL '!A28</f>
        <v>OF 03</v>
      </c>
      <c r="B151" s="92" t="str">
        <f>'PRESUPUESTO GENERAL '!B28</f>
        <v xml:space="preserve">CONTRAPISO DE CEMENTO S/LOSA </v>
      </c>
      <c r="C151" s="92"/>
      <c r="D151" s="92"/>
      <c r="E151" s="92" t="str">
        <f>'PRESUPUESTO GENERAL '!C28</f>
        <v>m²</v>
      </c>
      <c r="F151" s="65"/>
      <c r="G151" s="13"/>
      <c r="H151" s="13"/>
      <c r="I151" s="13"/>
      <c r="J151" s="13"/>
      <c r="K151" s="49">
        <f>ROUND(SUM(J151:J159),2)</f>
        <v>109.54</v>
      </c>
    </row>
    <row r="152" spans="1:11" x14ac:dyDescent="0.2">
      <c r="A152" s="78"/>
      <c r="B152" s="78"/>
      <c r="C152" s="78" t="s">
        <v>223</v>
      </c>
      <c r="D152" s="78" t="s">
        <v>242</v>
      </c>
      <c r="E152" s="78"/>
      <c r="F152" s="60">
        <v>1</v>
      </c>
      <c r="G152" s="2">
        <v>4.83</v>
      </c>
      <c r="H152" s="2">
        <v>3.84</v>
      </c>
      <c r="I152" s="2"/>
      <c r="J152" s="2">
        <f t="shared" ref="J152:J159" si="27">ROUND(PRODUCT(F152:I152),2)</f>
        <v>18.55</v>
      </c>
      <c r="K152" s="2"/>
    </row>
    <row r="153" spans="1:11" x14ac:dyDescent="0.2">
      <c r="A153" s="78"/>
      <c r="B153" s="78"/>
      <c r="C153" s="78"/>
      <c r="D153" s="78" t="s">
        <v>243</v>
      </c>
      <c r="E153" s="78"/>
      <c r="F153" s="60">
        <v>1</v>
      </c>
      <c r="G153" s="2">
        <v>4.83</v>
      </c>
      <c r="H153" s="2">
        <v>3.86</v>
      </c>
      <c r="I153" s="2"/>
      <c r="J153" s="2">
        <f t="shared" si="27"/>
        <v>18.64</v>
      </c>
      <c r="K153" s="2"/>
    </row>
    <row r="154" spans="1:11" x14ac:dyDescent="0.2">
      <c r="A154" s="78"/>
      <c r="B154" s="78"/>
      <c r="C154" s="78"/>
      <c r="D154" s="78" t="s">
        <v>244</v>
      </c>
      <c r="E154" s="78"/>
      <c r="F154" s="60">
        <v>1</v>
      </c>
      <c r="G154" s="2">
        <v>3.85</v>
      </c>
      <c r="H154" s="2">
        <v>2.85</v>
      </c>
      <c r="I154" s="2"/>
      <c r="J154" s="2">
        <f t="shared" si="27"/>
        <v>10.97</v>
      </c>
      <c r="K154" s="2"/>
    </row>
    <row r="155" spans="1:11" x14ac:dyDescent="0.2">
      <c r="A155" s="78"/>
      <c r="B155" s="78"/>
      <c r="C155" s="78"/>
      <c r="D155" s="78" t="s">
        <v>245</v>
      </c>
      <c r="E155" s="78"/>
      <c r="F155" s="60">
        <v>1</v>
      </c>
      <c r="G155" s="2">
        <v>2.85</v>
      </c>
      <c r="H155" s="2">
        <v>1.43</v>
      </c>
      <c r="I155" s="2"/>
      <c r="J155" s="2">
        <f t="shared" si="27"/>
        <v>4.08</v>
      </c>
      <c r="K155" s="2"/>
    </row>
    <row r="156" spans="1:11" x14ac:dyDescent="0.2">
      <c r="A156" s="78"/>
      <c r="B156" s="78"/>
      <c r="C156" s="78"/>
      <c r="D156" s="78" t="s">
        <v>246</v>
      </c>
      <c r="E156" s="78"/>
      <c r="F156" s="60">
        <v>1</v>
      </c>
      <c r="G156" s="2">
        <v>2.85</v>
      </c>
      <c r="H156" s="2">
        <v>6.79</v>
      </c>
      <c r="I156" s="2"/>
      <c r="J156" s="2">
        <f t="shared" si="27"/>
        <v>19.350000000000001</v>
      </c>
      <c r="K156" s="2"/>
    </row>
    <row r="157" spans="1:11" x14ac:dyDescent="0.2">
      <c r="A157" s="78"/>
      <c r="B157" s="78"/>
      <c r="C157" s="78"/>
      <c r="D157" s="78" t="s">
        <v>247</v>
      </c>
      <c r="E157" s="78"/>
      <c r="F157" s="60">
        <v>1</v>
      </c>
      <c r="G157" s="2">
        <v>2.85</v>
      </c>
      <c r="H157" s="2">
        <v>2.4300000000000002</v>
      </c>
      <c r="I157" s="2"/>
      <c r="J157" s="2">
        <f t="shared" si="27"/>
        <v>6.93</v>
      </c>
      <c r="K157" s="2"/>
    </row>
    <row r="158" spans="1:11" x14ac:dyDescent="0.2">
      <c r="A158" s="78"/>
      <c r="B158" s="78"/>
      <c r="C158" s="78"/>
      <c r="D158" s="78" t="s">
        <v>248</v>
      </c>
      <c r="E158" s="78"/>
      <c r="F158" s="60">
        <v>1</v>
      </c>
      <c r="G158" s="2">
        <v>4</v>
      </c>
      <c r="H158" s="2">
        <v>5.32</v>
      </c>
      <c r="I158" s="2"/>
      <c r="J158" s="2">
        <f t="shared" si="27"/>
        <v>21.28</v>
      </c>
      <c r="K158" s="2"/>
    </row>
    <row r="159" spans="1:11" ht="13.5" thickBot="1" x14ac:dyDescent="0.25">
      <c r="A159" s="80"/>
      <c r="B159" s="80"/>
      <c r="C159" s="80"/>
      <c r="D159" s="80" t="s">
        <v>249</v>
      </c>
      <c r="E159" s="80"/>
      <c r="F159" s="61">
        <v>1</v>
      </c>
      <c r="G159" s="9">
        <v>3.85</v>
      </c>
      <c r="H159" s="9">
        <v>2.5299999999999998</v>
      </c>
      <c r="I159" s="9"/>
      <c r="J159" s="9">
        <f t="shared" si="27"/>
        <v>9.74</v>
      </c>
      <c r="K159" s="9"/>
    </row>
    <row r="160" spans="1:11" ht="13.5" thickTop="1" x14ac:dyDescent="0.2">
      <c r="A160" s="91" t="str">
        <f>'PRESUPUESTO GENERAL '!A29</f>
        <v>OF 04</v>
      </c>
      <c r="B160" s="92" t="str">
        <f>'PRESUPUESTO GENERAL '!B29</f>
        <v xml:space="preserve">PISO DE CERAMICA NACIONAL </v>
      </c>
      <c r="C160" s="92"/>
      <c r="D160" s="92"/>
      <c r="E160" s="92" t="str">
        <f>'PRESUPUESTO GENERAL '!C29</f>
        <v>m²</v>
      </c>
      <c r="F160" s="65"/>
      <c r="G160" s="13"/>
      <c r="H160" s="13"/>
      <c r="I160" s="13"/>
      <c r="J160" s="13"/>
      <c r="K160" s="49">
        <f>ROUND(SUM(J160:J164),2)</f>
        <v>22</v>
      </c>
    </row>
    <row r="161" spans="1:11" x14ac:dyDescent="0.2">
      <c r="A161" s="78"/>
      <c r="B161" s="78"/>
      <c r="C161" s="78" t="s">
        <v>152</v>
      </c>
      <c r="D161" s="78" t="s">
        <v>163</v>
      </c>
      <c r="E161" s="78"/>
      <c r="F161" s="60">
        <v>1</v>
      </c>
      <c r="G161" s="2">
        <v>2.85</v>
      </c>
      <c r="H161" s="2">
        <v>2.4300000000000002</v>
      </c>
      <c r="I161" s="2"/>
      <c r="J161" s="2">
        <f>PRODUCT(F161:I161)</f>
        <v>6.9255000000000004</v>
      </c>
      <c r="K161" s="2"/>
    </row>
    <row r="162" spans="1:11" x14ac:dyDescent="0.2">
      <c r="A162" s="78"/>
      <c r="B162" s="78"/>
      <c r="C162" s="78"/>
      <c r="D162" s="78" t="s">
        <v>154</v>
      </c>
      <c r="E162" s="78"/>
      <c r="F162" s="60">
        <v>1</v>
      </c>
      <c r="G162" s="2">
        <v>2.85</v>
      </c>
      <c r="H162" s="2">
        <v>1.43</v>
      </c>
      <c r="I162" s="2"/>
      <c r="J162" s="2">
        <f t="shared" ref="J162:J182" si="28">PRODUCT(F162:I162)</f>
        <v>4.0754999999999999</v>
      </c>
      <c r="K162" s="2"/>
    </row>
    <row r="163" spans="1:11" x14ac:dyDescent="0.2">
      <c r="A163" s="78"/>
      <c r="B163" s="78"/>
      <c r="C163" s="78" t="s">
        <v>152</v>
      </c>
      <c r="D163" s="78" t="s">
        <v>163</v>
      </c>
      <c r="E163" s="78"/>
      <c r="F163" s="60">
        <v>1</v>
      </c>
      <c r="G163" s="2">
        <v>2.85</v>
      </c>
      <c r="H163" s="2">
        <v>2.4300000000000002</v>
      </c>
      <c r="I163" s="2"/>
      <c r="J163" s="2">
        <f t="shared" si="28"/>
        <v>6.9255000000000004</v>
      </c>
      <c r="K163" s="2"/>
    </row>
    <row r="164" spans="1:11" ht="13.5" thickBot="1" x14ac:dyDescent="0.25">
      <c r="A164" s="80"/>
      <c r="B164" s="80"/>
      <c r="C164" s="80"/>
      <c r="D164" s="80" t="s">
        <v>154</v>
      </c>
      <c r="E164" s="80"/>
      <c r="F164" s="61">
        <v>1</v>
      </c>
      <c r="G164" s="9">
        <v>2.85</v>
      </c>
      <c r="H164" s="9">
        <v>1.43</v>
      </c>
      <c r="I164" s="9"/>
      <c r="J164" s="9">
        <f t="shared" si="28"/>
        <v>4.0754999999999999</v>
      </c>
      <c r="K164" s="9"/>
    </row>
    <row r="165" spans="1:11" ht="13.5" thickTop="1" x14ac:dyDescent="0.2">
      <c r="A165" s="91" t="str">
        <f>'PRESUPUESTO GENERAL '!A30</f>
        <v>OF 05</v>
      </c>
      <c r="B165" s="92" t="str">
        <f>'PRESUPUESTO GENERAL '!B30</f>
        <v xml:space="preserve">PISO FLOTANTE </v>
      </c>
      <c r="C165" s="92"/>
      <c r="D165" s="92"/>
      <c r="E165" s="92" t="str">
        <f>'PRESUPUESTO GENERAL '!C30</f>
        <v>m²</v>
      </c>
      <c r="F165" s="65"/>
      <c r="G165" s="13"/>
      <c r="H165" s="13"/>
      <c r="I165" s="13"/>
      <c r="J165" s="13"/>
      <c r="K165" s="49">
        <f>ROUND(SUM(J165:J177),2)</f>
        <v>197.07</v>
      </c>
    </row>
    <row r="166" spans="1:11" x14ac:dyDescent="0.2">
      <c r="A166" s="78"/>
      <c r="B166" s="78"/>
      <c r="C166" s="78" t="s">
        <v>141</v>
      </c>
      <c r="D166" s="78" t="s">
        <v>151</v>
      </c>
      <c r="E166" s="78"/>
      <c r="F166" s="60">
        <v>1</v>
      </c>
      <c r="G166" s="2">
        <v>4.83</v>
      </c>
      <c r="H166" s="2">
        <v>3.84</v>
      </c>
      <c r="I166" s="2"/>
      <c r="J166" s="2">
        <f>PRODUCT(F166:I166)</f>
        <v>18.5472</v>
      </c>
      <c r="K166" s="2"/>
    </row>
    <row r="167" spans="1:11" x14ac:dyDescent="0.2">
      <c r="A167" s="78"/>
      <c r="B167" s="78"/>
      <c r="C167" s="78"/>
      <c r="D167" s="78" t="s">
        <v>160</v>
      </c>
      <c r="E167" s="78"/>
      <c r="F167" s="60">
        <v>1</v>
      </c>
      <c r="G167" s="2">
        <v>4.83</v>
      </c>
      <c r="H167" s="2">
        <v>3.86</v>
      </c>
      <c r="I167" s="2"/>
      <c r="J167" s="2">
        <f>PRODUCT(F167:I167)</f>
        <v>18.643799999999999</v>
      </c>
      <c r="K167" s="2"/>
    </row>
    <row r="168" spans="1:11" x14ac:dyDescent="0.2">
      <c r="A168" s="78"/>
      <c r="B168" s="78"/>
      <c r="C168" s="78"/>
      <c r="D168" s="78" t="s">
        <v>153</v>
      </c>
      <c r="E168" s="78"/>
      <c r="F168" s="60">
        <v>1</v>
      </c>
      <c r="G168" s="2">
        <v>3.85</v>
      </c>
      <c r="H168" s="2">
        <v>2.85</v>
      </c>
      <c r="I168" s="2"/>
      <c r="J168" s="2">
        <f t="shared" si="28"/>
        <v>10.9725</v>
      </c>
      <c r="K168" s="2"/>
    </row>
    <row r="169" spans="1:11" x14ac:dyDescent="0.2">
      <c r="A169" s="78"/>
      <c r="B169" s="78"/>
      <c r="C169" s="78"/>
      <c r="D169" s="78" t="s">
        <v>155</v>
      </c>
      <c r="E169" s="78"/>
      <c r="F169" s="60">
        <v>1</v>
      </c>
      <c r="G169" s="2">
        <v>2.85</v>
      </c>
      <c r="H169" s="2">
        <v>6.79</v>
      </c>
      <c r="I169" s="2"/>
      <c r="J169" s="2">
        <f t="shared" si="28"/>
        <v>19.351500000000001</v>
      </c>
      <c r="K169" s="2"/>
    </row>
    <row r="170" spans="1:11" x14ac:dyDescent="0.2">
      <c r="A170" s="78"/>
      <c r="B170" s="78"/>
      <c r="C170" s="78"/>
      <c r="D170" s="78" t="s">
        <v>161</v>
      </c>
      <c r="E170" s="78"/>
      <c r="F170" s="60">
        <v>1</v>
      </c>
      <c r="G170" s="2">
        <v>4</v>
      </c>
      <c r="H170" s="2">
        <v>5.32</v>
      </c>
      <c r="I170" s="2"/>
      <c r="J170" s="2">
        <f t="shared" si="28"/>
        <v>21.28</v>
      </c>
      <c r="K170" s="2"/>
    </row>
    <row r="171" spans="1:11" x14ac:dyDescent="0.2">
      <c r="A171" s="78"/>
      <c r="B171" s="78"/>
      <c r="C171" s="78"/>
      <c r="D171" s="78" t="s">
        <v>162</v>
      </c>
      <c r="E171" s="78"/>
      <c r="F171" s="60">
        <v>1</v>
      </c>
      <c r="G171" s="2">
        <v>3.85</v>
      </c>
      <c r="H171" s="2">
        <v>2.5299999999999998</v>
      </c>
      <c r="I171" s="2"/>
      <c r="J171" s="2">
        <f t="shared" si="28"/>
        <v>9.740499999999999</v>
      </c>
      <c r="K171" s="2"/>
    </row>
    <row r="172" spans="1:11" x14ac:dyDescent="0.2">
      <c r="A172" s="78"/>
      <c r="B172" s="78"/>
      <c r="C172" s="78" t="s">
        <v>148</v>
      </c>
      <c r="D172" s="78" t="s">
        <v>151</v>
      </c>
      <c r="E172" s="78"/>
      <c r="F172" s="60">
        <v>1</v>
      </c>
      <c r="G172" s="2">
        <v>4.83</v>
      </c>
      <c r="H172" s="2">
        <v>3.84</v>
      </c>
      <c r="I172" s="2"/>
      <c r="J172" s="2">
        <f t="shared" si="28"/>
        <v>18.5472</v>
      </c>
      <c r="K172" s="2"/>
    </row>
    <row r="173" spans="1:11" x14ac:dyDescent="0.2">
      <c r="A173" s="78"/>
      <c r="B173" s="78"/>
      <c r="C173" s="78"/>
      <c r="D173" s="78" t="s">
        <v>160</v>
      </c>
      <c r="E173" s="78"/>
      <c r="F173" s="60">
        <v>1</v>
      </c>
      <c r="G173" s="2">
        <v>4.83</v>
      </c>
      <c r="H173" s="2">
        <v>3.86</v>
      </c>
      <c r="I173" s="2"/>
      <c r="J173" s="2">
        <f t="shared" si="28"/>
        <v>18.643799999999999</v>
      </c>
      <c r="K173" s="2"/>
    </row>
    <row r="174" spans="1:11" x14ac:dyDescent="0.2">
      <c r="A174" s="78"/>
      <c r="B174" s="78"/>
      <c r="C174" s="78"/>
      <c r="D174" s="78" t="s">
        <v>153</v>
      </c>
      <c r="E174" s="78"/>
      <c r="F174" s="60">
        <v>1</v>
      </c>
      <c r="G174" s="2">
        <v>3.85</v>
      </c>
      <c r="H174" s="2">
        <v>2.85</v>
      </c>
      <c r="I174" s="2"/>
      <c r="J174" s="2">
        <f t="shared" si="28"/>
        <v>10.9725</v>
      </c>
      <c r="K174" s="2"/>
    </row>
    <row r="175" spans="1:11" x14ac:dyDescent="0.2">
      <c r="A175" s="78"/>
      <c r="B175" s="78"/>
      <c r="C175" s="78"/>
      <c r="D175" s="78" t="s">
        <v>155</v>
      </c>
      <c r="E175" s="78"/>
      <c r="F175" s="60">
        <v>1</v>
      </c>
      <c r="G175" s="2">
        <v>2.85</v>
      </c>
      <c r="H175" s="2">
        <v>6.79</v>
      </c>
      <c r="I175" s="2"/>
      <c r="J175" s="2">
        <f t="shared" si="28"/>
        <v>19.351500000000001</v>
      </c>
      <c r="K175" s="2"/>
    </row>
    <row r="176" spans="1:11" x14ac:dyDescent="0.2">
      <c r="A176" s="78"/>
      <c r="B176" s="78"/>
      <c r="C176" s="78"/>
      <c r="D176" s="78" t="s">
        <v>161</v>
      </c>
      <c r="E176" s="78"/>
      <c r="F176" s="60">
        <v>1</v>
      </c>
      <c r="G176" s="2">
        <v>4</v>
      </c>
      <c r="H176" s="2">
        <v>5.32</v>
      </c>
      <c r="I176" s="2"/>
      <c r="J176" s="2">
        <f t="shared" si="28"/>
        <v>21.28</v>
      </c>
      <c r="K176" s="2"/>
    </row>
    <row r="177" spans="1:11" ht="13.5" thickBot="1" x14ac:dyDescent="0.25">
      <c r="A177" s="80"/>
      <c r="B177" s="80"/>
      <c r="C177" s="80"/>
      <c r="D177" s="80" t="s">
        <v>162</v>
      </c>
      <c r="E177" s="80"/>
      <c r="F177" s="61">
        <v>1</v>
      </c>
      <c r="G177" s="9">
        <v>3.85</v>
      </c>
      <c r="H177" s="9">
        <v>2.5299999999999998</v>
      </c>
      <c r="I177" s="9"/>
      <c r="J177" s="9">
        <f t="shared" si="28"/>
        <v>9.740499999999999</v>
      </c>
      <c r="K177" s="9"/>
    </row>
    <row r="178" spans="1:11" ht="13.5" thickTop="1" x14ac:dyDescent="0.2">
      <c r="A178" s="91" t="str">
        <f>'PRESUPUESTO GENERAL '!A31</f>
        <v>OF 06</v>
      </c>
      <c r="B178" s="92" t="str">
        <f>'PRESUPUESTO GENERAL '!B31</f>
        <v>REVESTIMIENTO CERAMICA</v>
      </c>
      <c r="C178" s="92"/>
      <c r="D178" s="92"/>
      <c r="E178" s="92" t="str">
        <f>'PRESUPUESTO GENERAL '!C31</f>
        <v>m²</v>
      </c>
      <c r="F178" s="65"/>
      <c r="G178" s="13"/>
      <c r="H178" s="13"/>
      <c r="I178" s="13"/>
      <c r="J178" s="13"/>
      <c r="K178" s="49">
        <f>ROUND(SUM(J178:J185),2)</f>
        <v>39.130000000000003</v>
      </c>
    </row>
    <row r="179" spans="1:11" x14ac:dyDescent="0.2">
      <c r="A179" s="78"/>
      <c r="B179" s="78"/>
      <c r="C179" s="78" t="s">
        <v>141</v>
      </c>
      <c r="D179" s="78" t="s">
        <v>156</v>
      </c>
      <c r="E179" s="78"/>
      <c r="F179" s="60">
        <v>2</v>
      </c>
      <c r="G179" s="2">
        <v>2.85</v>
      </c>
      <c r="H179" s="2"/>
      <c r="I179" s="2">
        <v>2.6</v>
      </c>
      <c r="J179" s="2">
        <f>PRODUCT(F179:I179)</f>
        <v>14.82</v>
      </c>
      <c r="K179" s="2"/>
    </row>
    <row r="180" spans="1:11" x14ac:dyDescent="0.2">
      <c r="A180" s="78"/>
      <c r="B180" s="78"/>
      <c r="C180" s="78"/>
      <c r="D180" s="78"/>
      <c r="E180" s="78"/>
      <c r="F180" s="60">
        <v>2</v>
      </c>
      <c r="G180" s="2">
        <v>1.43</v>
      </c>
      <c r="H180" s="2"/>
      <c r="I180" s="2">
        <v>2.6</v>
      </c>
      <c r="J180" s="2">
        <f t="shared" si="28"/>
        <v>7.4359999999999999</v>
      </c>
      <c r="K180" s="2"/>
    </row>
    <row r="181" spans="1:11" x14ac:dyDescent="0.2">
      <c r="A181" s="78"/>
      <c r="B181" s="78"/>
      <c r="C181" s="78" t="s">
        <v>159</v>
      </c>
      <c r="D181" s="78" t="s">
        <v>156</v>
      </c>
      <c r="E181" s="78"/>
      <c r="F181" s="60">
        <v>2</v>
      </c>
      <c r="G181" s="2">
        <v>2.85</v>
      </c>
      <c r="H181" s="2"/>
      <c r="I181" s="2">
        <v>2.6</v>
      </c>
      <c r="J181" s="2">
        <f t="shared" si="28"/>
        <v>14.82</v>
      </c>
      <c r="K181" s="2"/>
    </row>
    <row r="182" spans="1:11" x14ac:dyDescent="0.2">
      <c r="A182" s="78"/>
      <c r="B182" s="78"/>
      <c r="C182" s="78"/>
      <c r="D182" s="78"/>
      <c r="E182" s="78"/>
      <c r="F182" s="60">
        <v>2</v>
      </c>
      <c r="G182" s="2">
        <v>1.43</v>
      </c>
      <c r="H182" s="2"/>
      <c r="I182" s="2">
        <v>2.6</v>
      </c>
      <c r="J182" s="2">
        <f t="shared" si="28"/>
        <v>7.4359999999999999</v>
      </c>
      <c r="K182" s="2"/>
    </row>
    <row r="183" spans="1:11" x14ac:dyDescent="0.2">
      <c r="A183" s="78"/>
      <c r="B183" s="78"/>
      <c r="C183" s="78"/>
      <c r="D183" s="78"/>
      <c r="E183" s="78"/>
      <c r="F183" s="60"/>
      <c r="G183" s="2"/>
      <c r="H183" s="2"/>
      <c r="I183" s="2"/>
      <c r="J183" s="2"/>
      <c r="K183" s="2"/>
    </row>
    <row r="184" spans="1:11" x14ac:dyDescent="0.2">
      <c r="A184" s="78"/>
      <c r="B184" s="78"/>
      <c r="C184" s="78"/>
      <c r="D184" s="78" t="s">
        <v>139</v>
      </c>
      <c r="E184" s="78"/>
      <c r="F184" s="60">
        <v>-2</v>
      </c>
      <c r="G184" s="2">
        <v>0.9</v>
      </c>
      <c r="H184" s="2"/>
      <c r="I184" s="2">
        <v>2.1</v>
      </c>
      <c r="J184" s="2">
        <f>PRODUCT(F184:I184)</f>
        <v>-3.7800000000000002</v>
      </c>
      <c r="K184" s="2"/>
    </row>
    <row r="185" spans="1:11" ht="13.5" thickBot="1" x14ac:dyDescent="0.25">
      <c r="A185" s="80"/>
      <c r="B185" s="80"/>
      <c r="C185" s="80"/>
      <c r="D185" s="80" t="s">
        <v>147</v>
      </c>
      <c r="E185" s="80"/>
      <c r="F185" s="61">
        <v>-2</v>
      </c>
      <c r="G185" s="9">
        <v>1</v>
      </c>
      <c r="H185" s="9"/>
      <c r="I185" s="9">
        <v>0.8</v>
      </c>
      <c r="J185" s="9">
        <f>PRODUCT(F185:I185)</f>
        <v>-1.6</v>
      </c>
      <c r="K185" s="9"/>
    </row>
    <row r="186" spans="1:11" ht="14.25" thickTop="1" thickBot="1" x14ac:dyDescent="0.25">
      <c r="A186" s="81" t="str">
        <f>'PRESUPUESTO GENERAL '!A32</f>
        <v>OF 07</v>
      </c>
      <c r="B186" s="82" t="str">
        <f>'PRESUPUESTO GENERAL '!B32</f>
        <v xml:space="preserve">REVOQUE CIELO RASO </v>
      </c>
      <c r="C186" s="82"/>
      <c r="D186" s="82"/>
      <c r="E186" s="82" t="str">
        <f>'PRESUPUESTO GENERAL '!C32</f>
        <v>m²</v>
      </c>
      <c r="F186" s="62"/>
      <c r="G186" s="10"/>
      <c r="H186" s="10"/>
      <c r="I186" s="10"/>
      <c r="J186" s="10"/>
      <c r="K186" s="38">
        <f>ROUND(SUM(J187:J194),2)</f>
        <v>109.54</v>
      </c>
    </row>
    <row r="187" spans="1:11" x14ac:dyDescent="0.2">
      <c r="A187" s="83"/>
      <c r="B187" s="84"/>
      <c r="C187" s="84" t="s">
        <v>148</v>
      </c>
      <c r="D187" s="78" t="s">
        <v>151</v>
      </c>
      <c r="E187" s="78"/>
      <c r="F187" s="60">
        <v>1</v>
      </c>
      <c r="G187" s="2">
        <v>4.83</v>
      </c>
      <c r="H187" s="2">
        <v>3.84</v>
      </c>
      <c r="I187" s="2"/>
      <c r="J187" s="2">
        <f>PRODUCT(F187:I187)</f>
        <v>18.5472</v>
      </c>
      <c r="K187" s="40"/>
    </row>
    <row r="188" spans="1:11" x14ac:dyDescent="0.2">
      <c r="A188" s="83"/>
      <c r="B188" s="84"/>
      <c r="C188" s="84"/>
      <c r="D188" s="78" t="s">
        <v>160</v>
      </c>
      <c r="E188" s="78"/>
      <c r="F188" s="60">
        <v>1</v>
      </c>
      <c r="G188" s="2">
        <v>4.83</v>
      </c>
      <c r="H188" s="2">
        <v>3.86</v>
      </c>
      <c r="I188" s="2"/>
      <c r="J188" s="2">
        <f t="shared" ref="J188:J194" si="29">PRODUCT(F188:I188)</f>
        <v>18.643799999999999</v>
      </c>
      <c r="K188" s="40"/>
    </row>
    <row r="189" spans="1:11" x14ac:dyDescent="0.2">
      <c r="A189" s="83"/>
      <c r="B189" s="84"/>
      <c r="C189" s="84"/>
      <c r="D189" s="78" t="s">
        <v>153</v>
      </c>
      <c r="E189" s="78"/>
      <c r="F189" s="60">
        <v>1</v>
      </c>
      <c r="G189" s="2">
        <v>3.85</v>
      </c>
      <c r="H189" s="2">
        <v>2.85</v>
      </c>
      <c r="I189" s="2"/>
      <c r="J189" s="2">
        <f t="shared" si="29"/>
        <v>10.9725</v>
      </c>
      <c r="K189" s="40"/>
    </row>
    <row r="190" spans="1:11" x14ac:dyDescent="0.2">
      <c r="A190" s="83"/>
      <c r="B190" s="84"/>
      <c r="C190" s="84"/>
      <c r="D190" s="78" t="s">
        <v>156</v>
      </c>
      <c r="E190" s="78"/>
      <c r="F190" s="60">
        <v>1</v>
      </c>
      <c r="G190" s="2">
        <v>2.85</v>
      </c>
      <c r="H190" s="2">
        <v>1.43</v>
      </c>
      <c r="I190" s="2"/>
      <c r="J190" s="2">
        <f t="shared" si="29"/>
        <v>4.0754999999999999</v>
      </c>
      <c r="K190" s="40"/>
    </row>
    <row r="191" spans="1:11" x14ac:dyDescent="0.2">
      <c r="A191" s="83"/>
      <c r="B191" s="84"/>
      <c r="C191" s="84"/>
      <c r="D191" s="78" t="s">
        <v>155</v>
      </c>
      <c r="E191" s="78"/>
      <c r="F191" s="60">
        <v>1</v>
      </c>
      <c r="G191" s="2">
        <v>2.85</v>
      </c>
      <c r="H191" s="2">
        <v>6.79</v>
      </c>
      <c r="I191" s="2"/>
      <c r="J191" s="2">
        <f t="shared" si="29"/>
        <v>19.351500000000001</v>
      </c>
      <c r="K191" s="40"/>
    </row>
    <row r="192" spans="1:11" x14ac:dyDescent="0.2">
      <c r="A192" s="83"/>
      <c r="B192" s="84"/>
      <c r="C192" s="84"/>
      <c r="D192" s="78" t="s">
        <v>161</v>
      </c>
      <c r="E192" s="78"/>
      <c r="F192" s="60">
        <v>1</v>
      </c>
      <c r="G192" s="2">
        <v>4</v>
      </c>
      <c r="H192" s="2">
        <v>5.32</v>
      </c>
      <c r="I192" s="2"/>
      <c r="J192" s="2">
        <f t="shared" si="29"/>
        <v>21.28</v>
      </c>
      <c r="K192" s="40"/>
    </row>
    <row r="193" spans="1:11" x14ac:dyDescent="0.2">
      <c r="A193" s="83"/>
      <c r="B193" s="84"/>
      <c r="C193" s="84"/>
      <c r="D193" s="78" t="s">
        <v>162</v>
      </c>
      <c r="E193" s="78"/>
      <c r="F193" s="60">
        <v>1</v>
      </c>
      <c r="G193" s="2">
        <v>3.85</v>
      </c>
      <c r="H193" s="2">
        <v>2.5299999999999998</v>
      </c>
      <c r="I193" s="2"/>
      <c r="J193" s="2">
        <f t="shared" si="29"/>
        <v>9.740499999999999</v>
      </c>
      <c r="K193" s="40"/>
    </row>
    <row r="194" spans="1:11" ht="13.5" thickBot="1" x14ac:dyDescent="0.25">
      <c r="A194" s="115"/>
      <c r="B194" s="102"/>
      <c r="C194" s="102"/>
      <c r="D194" s="80" t="s">
        <v>163</v>
      </c>
      <c r="E194" s="80"/>
      <c r="F194" s="61">
        <v>1</v>
      </c>
      <c r="G194" s="9">
        <v>2.85</v>
      </c>
      <c r="H194" s="9">
        <v>2.4300000000000002</v>
      </c>
      <c r="I194" s="9"/>
      <c r="J194" s="9">
        <f t="shared" si="29"/>
        <v>6.9255000000000004</v>
      </c>
      <c r="K194" s="39"/>
    </row>
    <row r="195" spans="1:11" ht="14.25" thickTop="1" thickBot="1" x14ac:dyDescent="0.25">
      <c r="A195" s="81" t="str">
        <f>'PRESUPUESTO GENERAL '!A33</f>
        <v>OF 08</v>
      </c>
      <c r="B195" s="82" t="str">
        <f>'PRESUPUESTO GENERAL '!B33</f>
        <v>REVOQUE CIELO RASO S/LOSA</v>
      </c>
      <c r="C195" s="82"/>
      <c r="D195" s="82"/>
      <c r="E195" s="82" t="str">
        <f>'PRESUPUESTO GENERAL '!C33</f>
        <v>m²</v>
      </c>
      <c r="F195" s="62"/>
      <c r="G195" s="10"/>
      <c r="H195" s="10"/>
      <c r="I195" s="10"/>
      <c r="J195" s="10"/>
      <c r="K195" s="38">
        <f>ROUND(SUM(J196:J203),2)</f>
        <v>109.54</v>
      </c>
    </row>
    <row r="196" spans="1:11" x14ac:dyDescent="0.2">
      <c r="A196" s="77"/>
      <c r="B196" s="78"/>
      <c r="C196" s="84" t="s">
        <v>152</v>
      </c>
      <c r="D196" s="78" t="s">
        <v>151</v>
      </c>
      <c r="E196" s="78"/>
      <c r="F196" s="60">
        <v>1</v>
      </c>
      <c r="G196" s="2">
        <v>4.83</v>
      </c>
      <c r="H196" s="2">
        <v>3.84</v>
      </c>
      <c r="I196" s="2"/>
      <c r="J196" s="2">
        <f>PRODUCT(F196:I196)</f>
        <v>18.5472</v>
      </c>
      <c r="K196" s="41"/>
    </row>
    <row r="197" spans="1:11" x14ac:dyDescent="0.2">
      <c r="A197" s="77"/>
      <c r="B197" s="78"/>
      <c r="C197" s="84"/>
      <c r="D197" s="78" t="s">
        <v>160</v>
      </c>
      <c r="E197" s="78"/>
      <c r="F197" s="60">
        <v>1</v>
      </c>
      <c r="G197" s="2">
        <v>4.83</v>
      </c>
      <c r="H197" s="2">
        <v>3.86</v>
      </c>
      <c r="I197" s="2"/>
      <c r="J197" s="2">
        <f t="shared" ref="J197:J203" si="30">PRODUCT(F197:I197)</f>
        <v>18.643799999999999</v>
      </c>
      <c r="K197" s="41"/>
    </row>
    <row r="198" spans="1:11" x14ac:dyDescent="0.2">
      <c r="A198" s="77"/>
      <c r="B198" s="78"/>
      <c r="C198" s="84"/>
      <c r="D198" s="78" t="s">
        <v>153</v>
      </c>
      <c r="E198" s="78"/>
      <c r="F198" s="60">
        <v>1</v>
      </c>
      <c r="G198" s="2">
        <v>3.85</v>
      </c>
      <c r="H198" s="2">
        <v>2.85</v>
      </c>
      <c r="I198" s="2"/>
      <c r="J198" s="2">
        <f t="shared" si="30"/>
        <v>10.9725</v>
      </c>
      <c r="K198" s="41"/>
    </row>
    <row r="199" spans="1:11" x14ac:dyDescent="0.2">
      <c r="A199" s="77"/>
      <c r="B199" s="78"/>
      <c r="C199" s="84"/>
      <c r="D199" s="78" t="s">
        <v>156</v>
      </c>
      <c r="E199" s="78"/>
      <c r="F199" s="60">
        <v>1</v>
      </c>
      <c r="G199" s="2">
        <v>2.85</v>
      </c>
      <c r="H199" s="2">
        <v>1.43</v>
      </c>
      <c r="I199" s="2"/>
      <c r="J199" s="2">
        <f t="shared" si="30"/>
        <v>4.0754999999999999</v>
      </c>
      <c r="K199" s="41"/>
    </row>
    <row r="200" spans="1:11" x14ac:dyDescent="0.2">
      <c r="A200" s="77"/>
      <c r="B200" s="78"/>
      <c r="C200" s="84"/>
      <c r="D200" s="78" t="s">
        <v>155</v>
      </c>
      <c r="E200" s="78"/>
      <c r="F200" s="60">
        <v>1</v>
      </c>
      <c r="G200" s="2">
        <v>2.85</v>
      </c>
      <c r="H200" s="2">
        <v>6.79</v>
      </c>
      <c r="I200" s="2"/>
      <c r="J200" s="2">
        <f t="shared" si="30"/>
        <v>19.351500000000001</v>
      </c>
      <c r="K200" s="41"/>
    </row>
    <row r="201" spans="1:11" x14ac:dyDescent="0.2">
      <c r="A201" s="77"/>
      <c r="B201" s="78"/>
      <c r="C201" s="84"/>
      <c r="D201" s="78" t="s">
        <v>161</v>
      </c>
      <c r="E201" s="78"/>
      <c r="F201" s="60">
        <v>1</v>
      </c>
      <c r="G201" s="2">
        <v>4</v>
      </c>
      <c r="H201" s="2">
        <v>5.32</v>
      </c>
      <c r="I201" s="2"/>
      <c r="J201" s="2">
        <f t="shared" si="30"/>
        <v>21.28</v>
      </c>
      <c r="K201" s="41"/>
    </row>
    <row r="202" spans="1:11" x14ac:dyDescent="0.2">
      <c r="A202" s="77"/>
      <c r="B202" s="78"/>
      <c r="C202" s="84"/>
      <c r="D202" s="78" t="s">
        <v>162</v>
      </c>
      <c r="E202" s="78"/>
      <c r="F202" s="60">
        <v>1</v>
      </c>
      <c r="G202" s="2">
        <v>3.85</v>
      </c>
      <c r="H202" s="2">
        <v>2.5299999999999998</v>
      </c>
      <c r="I202" s="2"/>
      <c r="J202" s="2">
        <f t="shared" si="30"/>
        <v>9.740499999999999</v>
      </c>
      <c r="K202" s="41"/>
    </row>
    <row r="203" spans="1:11" ht="13.5" thickBot="1" x14ac:dyDescent="0.25">
      <c r="A203" s="79"/>
      <c r="B203" s="80"/>
      <c r="C203" s="102"/>
      <c r="D203" s="80" t="s">
        <v>163</v>
      </c>
      <c r="E203" s="80"/>
      <c r="F203" s="61">
        <v>1</v>
      </c>
      <c r="G203" s="9">
        <v>2.85</v>
      </c>
      <c r="H203" s="9">
        <v>2.4300000000000002</v>
      </c>
      <c r="I203" s="9"/>
      <c r="J203" s="9">
        <f t="shared" si="30"/>
        <v>6.9255000000000004</v>
      </c>
      <c r="K203" s="42"/>
    </row>
    <row r="204" spans="1:11" ht="15" customHeight="1" thickTop="1" thickBot="1" x14ac:dyDescent="0.25">
      <c r="A204" s="81" t="str">
        <f>'PRESUPUESTO GENERAL '!A34</f>
        <v>OF 09</v>
      </c>
      <c r="B204" s="82" t="str">
        <f>'PRESUPUESTO GENERAL '!B34</f>
        <v>REVOQUE EXTERIOR DE CEMENTO</v>
      </c>
      <c r="C204" s="82"/>
      <c r="D204" s="82"/>
      <c r="E204" s="82" t="str">
        <f>'PRESUPUESTO GENERAL '!C34</f>
        <v>m²</v>
      </c>
      <c r="F204" s="62"/>
      <c r="G204" s="10"/>
      <c r="H204" s="10"/>
      <c r="I204" s="10"/>
      <c r="J204" s="10"/>
      <c r="K204" s="38">
        <f>ROUND(SUM(J205:J223),2)</f>
        <v>163.24</v>
      </c>
    </row>
    <row r="205" spans="1:11" ht="15" customHeight="1" x14ac:dyDescent="0.2">
      <c r="A205" s="77"/>
      <c r="B205" s="78"/>
      <c r="C205" s="78" t="s">
        <v>141</v>
      </c>
      <c r="D205" s="78" t="s">
        <v>136</v>
      </c>
      <c r="E205" s="78"/>
      <c r="F205" s="60">
        <v>1</v>
      </c>
      <c r="G205" s="2">
        <v>12.03</v>
      </c>
      <c r="H205" s="2"/>
      <c r="I205" s="2">
        <v>2.1800000000000002</v>
      </c>
      <c r="J205" s="2">
        <f>PRODUCT(F205:I205)</f>
        <v>26.2254</v>
      </c>
      <c r="K205" s="41"/>
    </row>
    <row r="206" spans="1:11" ht="15" customHeight="1" x14ac:dyDescent="0.2">
      <c r="A206" s="77"/>
      <c r="B206" s="78"/>
      <c r="C206" s="78"/>
      <c r="D206" s="78" t="s">
        <v>142</v>
      </c>
      <c r="E206" s="78"/>
      <c r="F206" s="60">
        <v>1</v>
      </c>
      <c r="G206" s="2">
        <v>0.97</v>
      </c>
      <c r="H206" s="2"/>
      <c r="I206" s="2">
        <v>2.1800000000000002</v>
      </c>
      <c r="J206" s="2">
        <f t="shared" ref="J206:J209" si="31">PRODUCT(F206:I206)</f>
        <v>2.1146000000000003</v>
      </c>
      <c r="K206" s="41"/>
    </row>
    <row r="207" spans="1:11" ht="15" customHeight="1" x14ac:dyDescent="0.2">
      <c r="A207" s="77"/>
      <c r="B207" s="78"/>
      <c r="C207" s="78"/>
      <c r="D207" s="78" t="s">
        <v>135</v>
      </c>
      <c r="E207" s="78"/>
      <c r="F207" s="60">
        <v>1</v>
      </c>
      <c r="G207" s="2">
        <v>11.05</v>
      </c>
      <c r="H207" s="2"/>
      <c r="I207" s="2">
        <v>2.1800000000000002</v>
      </c>
      <c r="J207" s="2">
        <f t="shared" si="31"/>
        <v>24.089000000000002</v>
      </c>
      <c r="K207" s="41"/>
    </row>
    <row r="208" spans="1:11" ht="15" customHeight="1" x14ac:dyDescent="0.2">
      <c r="A208" s="77"/>
      <c r="B208" s="78"/>
      <c r="C208" s="78"/>
      <c r="D208" s="78" t="s">
        <v>143</v>
      </c>
      <c r="E208" s="78"/>
      <c r="F208" s="60">
        <v>2</v>
      </c>
      <c r="G208" s="2">
        <v>8.0299999999999994</v>
      </c>
      <c r="H208" s="2"/>
      <c r="I208" s="2">
        <v>2.1800000000000002</v>
      </c>
      <c r="J208" s="2">
        <f t="shared" si="31"/>
        <v>35.010800000000003</v>
      </c>
      <c r="K208" s="41"/>
    </row>
    <row r="209" spans="1:11" ht="15" customHeight="1" x14ac:dyDescent="0.2">
      <c r="A209" s="77"/>
      <c r="B209" s="78"/>
      <c r="C209" s="78"/>
      <c r="D209" s="78" t="s">
        <v>144</v>
      </c>
      <c r="E209" s="78"/>
      <c r="F209" s="60">
        <v>2</v>
      </c>
      <c r="G209" s="2">
        <v>3.03</v>
      </c>
      <c r="H209" s="2"/>
      <c r="I209" s="2">
        <v>2.1800000000000002</v>
      </c>
      <c r="J209" s="2">
        <f t="shared" si="31"/>
        <v>13.210800000000001</v>
      </c>
      <c r="K209" s="41"/>
    </row>
    <row r="210" spans="1:11" ht="15" customHeight="1" x14ac:dyDescent="0.2">
      <c r="A210" s="77"/>
      <c r="B210" s="78"/>
      <c r="C210" s="78"/>
      <c r="D210" s="78"/>
      <c r="E210" s="78"/>
      <c r="F210" s="60"/>
      <c r="G210" s="2"/>
      <c r="H210" s="2"/>
      <c r="I210" s="2"/>
      <c r="J210" s="2"/>
      <c r="K210" s="41"/>
    </row>
    <row r="211" spans="1:11" ht="15" customHeight="1" x14ac:dyDescent="0.2">
      <c r="A211" s="77"/>
      <c r="B211" s="78"/>
      <c r="C211" s="78"/>
      <c r="D211" s="78" t="s">
        <v>145</v>
      </c>
      <c r="E211" s="78"/>
      <c r="F211" s="60">
        <v>-5</v>
      </c>
      <c r="G211" s="2">
        <v>2.2000000000000002</v>
      </c>
      <c r="H211" s="2"/>
      <c r="I211" s="2">
        <v>1.5</v>
      </c>
      <c r="J211" s="2">
        <f t="shared" ref="J211:J213" si="32">PRODUCT(F211:I211)</f>
        <v>-16.5</v>
      </c>
      <c r="K211" s="41"/>
    </row>
    <row r="212" spans="1:11" ht="15" customHeight="1" x14ac:dyDescent="0.2">
      <c r="A212" s="77"/>
      <c r="B212" s="78"/>
      <c r="C212" s="78"/>
      <c r="D212" s="78" t="s">
        <v>146</v>
      </c>
      <c r="E212" s="78"/>
      <c r="F212" s="60">
        <v>-2</v>
      </c>
      <c r="G212" s="2">
        <v>1.5</v>
      </c>
      <c r="H212" s="2"/>
      <c r="I212" s="2">
        <v>1.5</v>
      </c>
      <c r="J212" s="2">
        <f t="shared" si="32"/>
        <v>-4.5</v>
      </c>
      <c r="K212" s="41"/>
    </row>
    <row r="213" spans="1:11" ht="15" customHeight="1" x14ac:dyDescent="0.2">
      <c r="A213" s="77"/>
      <c r="B213" s="78"/>
      <c r="C213" s="78"/>
      <c r="D213" s="78" t="s">
        <v>147</v>
      </c>
      <c r="E213" s="78"/>
      <c r="F213" s="60">
        <v>-1</v>
      </c>
      <c r="G213" s="2">
        <v>1</v>
      </c>
      <c r="H213" s="2"/>
      <c r="I213" s="2">
        <v>0.8</v>
      </c>
      <c r="J213" s="2">
        <f t="shared" si="32"/>
        <v>-0.8</v>
      </c>
      <c r="K213" s="41"/>
    </row>
    <row r="214" spans="1:11" ht="15" customHeight="1" x14ac:dyDescent="0.2">
      <c r="A214" s="77"/>
      <c r="B214" s="78"/>
      <c r="C214" s="78"/>
      <c r="D214" s="78"/>
      <c r="E214" s="78"/>
      <c r="F214" s="60"/>
      <c r="G214" s="2"/>
      <c r="H214" s="2"/>
      <c r="I214" s="2"/>
      <c r="J214" s="2"/>
      <c r="K214" s="41"/>
    </row>
    <row r="215" spans="1:11" ht="15" customHeight="1" x14ac:dyDescent="0.2">
      <c r="A215" s="77"/>
      <c r="B215" s="78"/>
      <c r="C215" s="78" t="s">
        <v>148</v>
      </c>
      <c r="D215" s="78" t="s">
        <v>136</v>
      </c>
      <c r="E215" s="78"/>
      <c r="F215" s="60">
        <v>1</v>
      </c>
      <c r="G215" s="2">
        <v>12.03</v>
      </c>
      <c r="H215" s="2"/>
      <c r="I215" s="2">
        <v>2.2999999999999998</v>
      </c>
      <c r="J215" s="2">
        <f t="shared" ref="J215:J223" si="33">PRODUCT(F215:I215)</f>
        <v>27.668999999999997</v>
      </c>
      <c r="K215" s="41"/>
    </row>
    <row r="216" spans="1:11" ht="15" customHeight="1" x14ac:dyDescent="0.2">
      <c r="A216" s="77"/>
      <c r="B216" s="78"/>
      <c r="C216" s="78"/>
      <c r="D216" s="78" t="s">
        <v>142</v>
      </c>
      <c r="E216" s="78"/>
      <c r="F216" s="60">
        <v>1</v>
      </c>
      <c r="G216" s="2">
        <v>0.97</v>
      </c>
      <c r="H216" s="2"/>
      <c r="I216" s="2">
        <v>2.2999999999999998</v>
      </c>
      <c r="J216" s="2">
        <f t="shared" si="33"/>
        <v>2.2309999999999999</v>
      </c>
      <c r="K216" s="41"/>
    </row>
    <row r="217" spans="1:11" ht="15" customHeight="1" x14ac:dyDescent="0.2">
      <c r="A217" s="77"/>
      <c r="B217" s="78"/>
      <c r="C217" s="78"/>
      <c r="D217" s="78" t="s">
        <v>135</v>
      </c>
      <c r="E217" s="78"/>
      <c r="F217" s="60">
        <v>1</v>
      </c>
      <c r="G217" s="2">
        <v>11.05</v>
      </c>
      <c r="H217" s="2"/>
      <c r="I217" s="2">
        <v>2.2999999999999998</v>
      </c>
      <c r="J217" s="2">
        <f t="shared" si="33"/>
        <v>25.414999999999999</v>
      </c>
      <c r="K217" s="41"/>
    </row>
    <row r="218" spans="1:11" ht="15" customHeight="1" x14ac:dyDescent="0.2">
      <c r="A218" s="77"/>
      <c r="B218" s="78"/>
      <c r="C218" s="78"/>
      <c r="D218" s="78" t="s">
        <v>143</v>
      </c>
      <c r="E218" s="78"/>
      <c r="F218" s="60">
        <v>2</v>
      </c>
      <c r="G218" s="2">
        <v>8.0299999999999994</v>
      </c>
      <c r="H218" s="2"/>
      <c r="I218" s="2">
        <v>2.2999999999999998</v>
      </c>
      <c r="J218" s="2">
        <f t="shared" si="33"/>
        <v>36.937999999999995</v>
      </c>
      <c r="K218" s="41"/>
    </row>
    <row r="219" spans="1:11" ht="15" customHeight="1" x14ac:dyDescent="0.2">
      <c r="A219" s="77"/>
      <c r="B219" s="78"/>
      <c r="C219" s="78"/>
      <c r="D219" s="78" t="s">
        <v>144</v>
      </c>
      <c r="E219" s="78"/>
      <c r="F219" s="60">
        <v>2</v>
      </c>
      <c r="G219" s="2">
        <v>3.03</v>
      </c>
      <c r="H219" s="2"/>
      <c r="I219" s="2">
        <v>2.2999999999999998</v>
      </c>
      <c r="J219" s="2">
        <f t="shared" si="33"/>
        <v>13.937999999999999</v>
      </c>
      <c r="K219" s="41"/>
    </row>
    <row r="220" spans="1:11" ht="15" customHeight="1" x14ac:dyDescent="0.2">
      <c r="A220" s="77"/>
      <c r="B220" s="78"/>
      <c r="C220" s="78"/>
      <c r="D220" s="78"/>
      <c r="E220" s="78"/>
      <c r="F220" s="60"/>
      <c r="G220" s="2"/>
      <c r="H220" s="2"/>
      <c r="I220" s="2"/>
      <c r="J220" s="2">
        <f t="shared" si="33"/>
        <v>0</v>
      </c>
      <c r="K220" s="41"/>
    </row>
    <row r="221" spans="1:11" ht="15" customHeight="1" x14ac:dyDescent="0.2">
      <c r="A221" s="77"/>
      <c r="B221" s="78"/>
      <c r="C221" s="78"/>
      <c r="D221" s="78" t="s">
        <v>145</v>
      </c>
      <c r="E221" s="78"/>
      <c r="F221" s="60">
        <v>-5</v>
      </c>
      <c r="G221" s="2">
        <v>2.2000000000000002</v>
      </c>
      <c r="H221" s="2"/>
      <c r="I221" s="2">
        <v>1.5</v>
      </c>
      <c r="J221" s="2">
        <f t="shared" si="33"/>
        <v>-16.5</v>
      </c>
      <c r="K221" s="41"/>
    </row>
    <row r="222" spans="1:11" ht="15" customHeight="1" x14ac:dyDescent="0.2">
      <c r="A222" s="77"/>
      <c r="B222" s="78"/>
      <c r="C222" s="78"/>
      <c r="D222" s="78" t="s">
        <v>146</v>
      </c>
      <c r="E222" s="78"/>
      <c r="F222" s="60">
        <v>-2</v>
      </c>
      <c r="G222" s="2">
        <v>1.5</v>
      </c>
      <c r="H222" s="2"/>
      <c r="I222" s="2">
        <v>1.5</v>
      </c>
      <c r="J222" s="2">
        <f t="shared" si="33"/>
        <v>-4.5</v>
      </c>
      <c r="K222" s="41"/>
    </row>
    <row r="223" spans="1:11" ht="15" customHeight="1" thickBot="1" x14ac:dyDescent="0.25">
      <c r="A223" s="79"/>
      <c r="B223" s="80"/>
      <c r="C223" s="80"/>
      <c r="D223" s="80" t="s">
        <v>147</v>
      </c>
      <c r="E223" s="80"/>
      <c r="F223" s="61">
        <v>-1</v>
      </c>
      <c r="G223" s="9">
        <v>1</v>
      </c>
      <c r="H223" s="9"/>
      <c r="I223" s="9">
        <v>0.8</v>
      </c>
      <c r="J223" s="9">
        <f t="shared" si="33"/>
        <v>-0.8</v>
      </c>
      <c r="K223" s="42"/>
    </row>
    <row r="224" spans="1:11" ht="14.25" thickTop="1" thickBot="1" x14ac:dyDescent="0.25">
      <c r="A224" s="81" t="str">
        <f>'PRESUPUESTO GENERAL '!A35</f>
        <v>OF 10</v>
      </c>
      <c r="B224" s="82" t="str">
        <f>'PRESUPUESTO GENERAL '!B35</f>
        <v>REVOQUE INTERIOR DE YESO</v>
      </c>
      <c r="C224" s="82"/>
      <c r="D224" s="82"/>
      <c r="E224" s="82" t="str">
        <f>'PRESUPUESTO GENERAL '!C35</f>
        <v>m²</v>
      </c>
      <c r="F224" s="62"/>
      <c r="G224" s="10"/>
      <c r="H224" s="10"/>
      <c r="I224" s="10"/>
      <c r="J224" s="10"/>
      <c r="K224" s="38">
        <f>ROUND(SUM(J225:J260),2)</f>
        <v>334.45</v>
      </c>
    </row>
    <row r="225" spans="1:11" x14ac:dyDescent="0.2">
      <c r="A225" s="83"/>
      <c r="B225" s="84"/>
      <c r="C225" s="78" t="s">
        <v>141</v>
      </c>
      <c r="D225" s="78" t="s">
        <v>151</v>
      </c>
      <c r="E225" s="78"/>
      <c r="F225" s="60">
        <v>2</v>
      </c>
      <c r="G225" s="2">
        <v>4.83</v>
      </c>
      <c r="H225" s="2"/>
      <c r="I225" s="2">
        <v>2.6</v>
      </c>
      <c r="J225" s="2">
        <f>PRODUCT(F225:I225)</f>
        <v>25.116</v>
      </c>
      <c r="K225" s="2"/>
    </row>
    <row r="226" spans="1:11" x14ac:dyDescent="0.2">
      <c r="A226" s="83"/>
      <c r="B226" s="84"/>
      <c r="C226" s="78"/>
      <c r="D226" s="78"/>
      <c r="E226" s="78"/>
      <c r="F226" s="60">
        <v>2</v>
      </c>
      <c r="G226" s="2">
        <v>3.84</v>
      </c>
      <c r="H226" s="2"/>
      <c r="I226" s="2">
        <v>2.6</v>
      </c>
      <c r="J226" s="2">
        <f t="shared" ref="J226:J254" si="34">PRODUCT(F226:I226)</f>
        <v>19.968</v>
      </c>
      <c r="K226" s="2"/>
    </row>
    <row r="227" spans="1:11" x14ac:dyDescent="0.2">
      <c r="A227" s="83"/>
      <c r="B227" s="84"/>
      <c r="C227" s="78"/>
      <c r="D227" s="78" t="s">
        <v>160</v>
      </c>
      <c r="E227" s="78"/>
      <c r="F227" s="60">
        <v>2</v>
      </c>
      <c r="G227" s="2">
        <v>4.83</v>
      </c>
      <c r="H227" s="2"/>
      <c r="I227" s="2">
        <v>2.6</v>
      </c>
      <c r="J227" s="2">
        <f t="shared" si="34"/>
        <v>25.116</v>
      </c>
      <c r="K227" s="2"/>
    </row>
    <row r="228" spans="1:11" x14ac:dyDescent="0.2">
      <c r="A228" s="83"/>
      <c r="B228" s="84"/>
      <c r="C228" s="78"/>
      <c r="D228" s="78"/>
      <c r="E228" s="78"/>
      <c r="F228" s="60">
        <v>2</v>
      </c>
      <c r="G228" s="2">
        <v>3.86</v>
      </c>
      <c r="H228" s="2"/>
      <c r="I228" s="2">
        <v>2.6</v>
      </c>
      <c r="J228" s="2">
        <f t="shared" si="34"/>
        <v>20.071999999999999</v>
      </c>
      <c r="K228" s="2"/>
    </row>
    <row r="229" spans="1:11" x14ac:dyDescent="0.2">
      <c r="A229" s="83"/>
      <c r="B229" s="84"/>
      <c r="C229" s="78"/>
      <c r="D229" s="78" t="s">
        <v>153</v>
      </c>
      <c r="E229" s="78"/>
      <c r="F229" s="60">
        <v>2</v>
      </c>
      <c r="G229" s="2">
        <v>3.85</v>
      </c>
      <c r="H229" s="2"/>
      <c r="I229" s="2">
        <v>2.6</v>
      </c>
      <c r="J229" s="2">
        <f t="shared" si="34"/>
        <v>20.02</v>
      </c>
      <c r="K229" s="2"/>
    </row>
    <row r="230" spans="1:11" x14ac:dyDescent="0.2">
      <c r="A230" s="83"/>
      <c r="B230" s="84"/>
      <c r="C230" s="78"/>
      <c r="D230" s="78"/>
      <c r="E230" s="78"/>
      <c r="F230" s="60">
        <v>2</v>
      </c>
      <c r="G230" s="2">
        <v>2.85</v>
      </c>
      <c r="H230" s="2"/>
      <c r="I230" s="2">
        <v>2.6</v>
      </c>
      <c r="J230" s="2">
        <f t="shared" si="34"/>
        <v>14.82</v>
      </c>
      <c r="K230" s="2"/>
    </row>
    <row r="231" spans="1:11" x14ac:dyDescent="0.2">
      <c r="A231" s="83"/>
      <c r="B231" s="84"/>
      <c r="C231" s="78"/>
      <c r="D231" s="78" t="s">
        <v>155</v>
      </c>
      <c r="E231" s="78"/>
      <c r="F231" s="60">
        <v>2</v>
      </c>
      <c r="G231" s="2">
        <v>2.85</v>
      </c>
      <c r="H231" s="2"/>
      <c r="I231" s="2">
        <v>2.6</v>
      </c>
      <c r="J231" s="2">
        <f t="shared" si="34"/>
        <v>14.82</v>
      </c>
      <c r="K231" s="2"/>
    </row>
    <row r="232" spans="1:11" x14ac:dyDescent="0.2">
      <c r="A232" s="83"/>
      <c r="B232" s="84"/>
      <c r="C232" s="78"/>
      <c r="D232" s="78"/>
      <c r="E232" s="78"/>
      <c r="F232" s="60">
        <v>1</v>
      </c>
      <c r="G232" s="2">
        <v>6.79</v>
      </c>
      <c r="H232" s="2"/>
      <c r="I232" s="2">
        <v>2.6</v>
      </c>
      <c r="J232" s="2">
        <f t="shared" si="34"/>
        <v>17.654</v>
      </c>
      <c r="K232" s="2"/>
    </row>
    <row r="233" spans="1:11" x14ac:dyDescent="0.2">
      <c r="A233" s="83"/>
      <c r="B233" s="84"/>
      <c r="C233" s="78"/>
      <c r="D233" s="78" t="s">
        <v>161</v>
      </c>
      <c r="E233" s="78"/>
      <c r="F233" s="60">
        <v>1</v>
      </c>
      <c r="G233" s="2">
        <v>4</v>
      </c>
      <c r="H233" s="2"/>
      <c r="I233" s="2">
        <v>2.6</v>
      </c>
      <c r="J233" s="2">
        <f t="shared" si="34"/>
        <v>10.4</v>
      </c>
      <c r="K233" s="2"/>
    </row>
    <row r="234" spans="1:11" x14ac:dyDescent="0.2">
      <c r="A234" s="83"/>
      <c r="B234" s="84"/>
      <c r="C234" s="78"/>
      <c r="D234" s="78"/>
      <c r="E234" s="78"/>
      <c r="F234" s="60">
        <v>1</v>
      </c>
      <c r="G234" s="2">
        <v>5.32</v>
      </c>
      <c r="H234" s="2"/>
      <c r="I234" s="2">
        <v>2.6</v>
      </c>
      <c r="J234" s="2">
        <f t="shared" si="34"/>
        <v>13.832000000000001</v>
      </c>
      <c r="K234" s="2"/>
    </row>
    <row r="235" spans="1:11" x14ac:dyDescent="0.2">
      <c r="A235" s="83"/>
      <c r="B235" s="84"/>
      <c r="C235" s="78"/>
      <c r="D235" s="78" t="s">
        <v>162</v>
      </c>
      <c r="E235" s="78"/>
      <c r="F235" s="60">
        <v>1</v>
      </c>
      <c r="G235" s="2">
        <v>3.85</v>
      </c>
      <c r="H235" s="2"/>
      <c r="I235" s="2">
        <v>2.6</v>
      </c>
      <c r="J235" s="2">
        <f t="shared" si="34"/>
        <v>10.01</v>
      </c>
      <c r="K235" s="2"/>
    </row>
    <row r="236" spans="1:11" x14ac:dyDescent="0.2">
      <c r="A236" s="83"/>
      <c r="B236" s="84"/>
      <c r="C236" s="78"/>
      <c r="D236" s="78"/>
      <c r="E236" s="78"/>
      <c r="F236" s="60">
        <v>2</v>
      </c>
      <c r="G236" s="2">
        <v>2.5299999999999998</v>
      </c>
      <c r="H236" s="2"/>
      <c r="I236" s="2">
        <v>2.6</v>
      </c>
      <c r="J236" s="2">
        <f t="shared" si="34"/>
        <v>13.155999999999999</v>
      </c>
      <c r="K236" s="2"/>
    </row>
    <row r="237" spans="1:11" x14ac:dyDescent="0.2">
      <c r="A237" s="83"/>
      <c r="B237" s="84"/>
      <c r="C237" s="78"/>
      <c r="D237" s="78" t="s">
        <v>145</v>
      </c>
      <c r="E237" s="78"/>
      <c r="F237" s="60">
        <v>-5</v>
      </c>
      <c r="G237" s="2">
        <v>2.2000000000000002</v>
      </c>
      <c r="H237" s="2"/>
      <c r="I237" s="2">
        <v>1.5</v>
      </c>
      <c r="J237" s="2">
        <f t="shared" si="34"/>
        <v>-16.5</v>
      </c>
      <c r="K237" s="2"/>
    </row>
    <row r="238" spans="1:11" x14ac:dyDescent="0.2">
      <c r="A238" s="83"/>
      <c r="B238" s="84"/>
      <c r="C238" s="78"/>
      <c r="D238" s="78" t="s">
        <v>146</v>
      </c>
      <c r="E238" s="78"/>
      <c r="F238" s="60">
        <v>-2</v>
      </c>
      <c r="G238" s="2">
        <v>1.5</v>
      </c>
      <c r="H238" s="2"/>
      <c r="I238" s="2">
        <v>1.5</v>
      </c>
      <c r="J238" s="2">
        <f t="shared" si="34"/>
        <v>-4.5</v>
      </c>
      <c r="K238" s="2"/>
    </row>
    <row r="239" spans="1:11" x14ac:dyDescent="0.2">
      <c r="A239" s="83"/>
      <c r="B239" s="84"/>
      <c r="C239" s="78"/>
      <c r="D239" s="78" t="s">
        <v>147</v>
      </c>
      <c r="E239" s="78"/>
      <c r="F239" s="60">
        <v>-1</v>
      </c>
      <c r="G239" s="2">
        <v>1</v>
      </c>
      <c r="H239" s="2"/>
      <c r="I239" s="2">
        <v>0.8</v>
      </c>
      <c r="J239" s="2">
        <f t="shared" si="34"/>
        <v>-0.8</v>
      </c>
      <c r="K239" s="2"/>
    </row>
    <row r="240" spans="1:11" x14ac:dyDescent="0.2">
      <c r="A240" s="83"/>
      <c r="B240" s="84"/>
      <c r="C240" s="78"/>
      <c r="D240" s="78" t="s">
        <v>137</v>
      </c>
      <c r="E240" s="78"/>
      <c r="F240" s="60">
        <v>-5</v>
      </c>
      <c r="G240" s="2">
        <v>1</v>
      </c>
      <c r="H240" s="2"/>
      <c r="I240" s="2">
        <v>2.1</v>
      </c>
      <c r="J240" s="2">
        <f t="shared" si="34"/>
        <v>-10.5</v>
      </c>
      <c r="K240" s="2"/>
    </row>
    <row r="241" spans="1:11" x14ac:dyDescent="0.2">
      <c r="A241" s="83"/>
      <c r="B241" s="84"/>
      <c r="C241" s="78"/>
      <c r="D241" s="78" t="s">
        <v>138</v>
      </c>
      <c r="E241" s="78"/>
      <c r="F241" s="60">
        <v>-2</v>
      </c>
      <c r="G241" s="2">
        <v>0.9</v>
      </c>
      <c r="H241" s="2"/>
      <c r="I241" s="2">
        <v>2.1</v>
      </c>
      <c r="J241" s="2">
        <f t="shared" si="34"/>
        <v>-3.7800000000000002</v>
      </c>
      <c r="K241" s="2"/>
    </row>
    <row r="242" spans="1:11" x14ac:dyDescent="0.2">
      <c r="A242" s="83"/>
      <c r="B242" s="84"/>
      <c r="C242" s="78"/>
      <c r="D242" s="78" t="s">
        <v>139</v>
      </c>
      <c r="E242" s="78"/>
      <c r="F242" s="60">
        <v>-1</v>
      </c>
      <c r="G242" s="2">
        <v>0.8</v>
      </c>
      <c r="H242" s="2"/>
      <c r="I242" s="2">
        <v>2.1</v>
      </c>
      <c r="J242" s="2">
        <f t="shared" si="34"/>
        <v>-1.6800000000000002</v>
      </c>
      <c r="K242" s="2"/>
    </row>
    <row r="243" spans="1:11" x14ac:dyDescent="0.2">
      <c r="A243" s="83"/>
      <c r="B243" s="84"/>
      <c r="C243" s="78" t="s">
        <v>148</v>
      </c>
      <c r="D243" s="78" t="s">
        <v>151</v>
      </c>
      <c r="E243" s="78"/>
      <c r="F243" s="60">
        <v>2</v>
      </c>
      <c r="G243" s="2">
        <v>4.83</v>
      </c>
      <c r="H243" s="2"/>
      <c r="I243" s="2">
        <v>2.6</v>
      </c>
      <c r="J243" s="2">
        <f t="shared" si="34"/>
        <v>25.116</v>
      </c>
      <c r="K243" s="2"/>
    </row>
    <row r="244" spans="1:11" x14ac:dyDescent="0.2">
      <c r="A244" s="83"/>
      <c r="B244" s="84"/>
      <c r="C244" s="78"/>
      <c r="D244" s="78"/>
      <c r="E244" s="78"/>
      <c r="F244" s="60">
        <v>2</v>
      </c>
      <c r="G244" s="2">
        <v>3.84</v>
      </c>
      <c r="H244" s="2"/>
      <c r="I244" s="2">
        <v>2.6</v>
      </c>
      <c r="J244" s="2">
        <f t="shared" si="34"/>
        <v>19.968</v>
      </c>
      <c r="K244" s="2"/>
    </row>
    <row r="245" spans="1:11" x14ac:dyDescent="0.2">
      <c r="A245" s="83"/>
      <c r="B245" s="84"/>
      <c r="C245" s="78"/>
      <c r="D245" s="78" t="s">
        <v>160</v>
      </c>
      <c r="E245" s="78"/>
      <c r="F245" s="60">
        <v>2</v>
      </c>
      <c r="G245" s="2">
        <v>4.83</v>
      </c>
      <c r="H245" s="2"/>
      <c r="I245" s="2">
        <v>2.6</v>
      </c>
      <c r="J245" s="2">
        <f t="shared" si="34"/>
        <v>25.116</v>
      </c>
      <c r="K245" s="2"/>
    </row>
    <row r="246" spans="1:11" x14ac:dyDescent="0.2">
      <c r="A246" s="83"/>
      <c r="B246" s="84"/>
      <c r="C246" s="78"/>
      <c r="D246" s="78"/>
      <c r="E246" s="78"/>
      <c r="F246" s="60">
        <v>2</v>
      </c>
      <c r="G246" s="2">
        <v>3.86</v>
      </c>
      <c r="H246" s="2"/>
      <c r="I246" s="2">
        <v>2.6</v>
      </c>
      <c r="J246" s="2">
        <f t="shared" si="34"/>
        <v>20.071999999999999</v>
      </c>
      <c r="K246" s="2"/>
    </row>
    <row r="247" spans="1:11" x14ac:dyDescent="0.2">
      <c r="A247" s="83"/>
      <c r="B247" s="84"/>
      <c r="C247" s="78"/>
      <c r="D247" s="78" t="s">
        <v>153</v>
      </c>
      <c r="E247" s="78"/>
      <c r="F247" s="60">
        <v>2</v>
      </c>
      <c r="G247" s="2">
        <v>3.85</v>
      </c>
      <c r="H247" s="2"/>
      <c r="I247" s="2">
        <v>2.6</v>
      </c>
      <c r="J247" s="2">
        <f t="shared" si="34"/>
        <v>20.02</v>
      </c>
      <c r="K247" s="2"/>
    </row>
    <row r="248" spans="1:11" x14ac:dyDescent="0.2">
      <c r="A248" s="83"/>
      <c r="B248" s="84"/>
      <c r="C248" s="78"/>
      <c r="D248" s="78"/>
      <c r="E248" s="78"/>
      <c r="F248" s="60">
        <v>2</v>
      </c>
      <c r="G248" s="2">
        <v>2.85</v>
      </c>
      <c r="H248" s="2"/>
      <c r="I248" s="2">
        <v>2.6</v>
      </c>
      <c r="J248" s="2">
        <f t="shared" si="34"/>
        <v>14.82</v>
      </c>
      <c r="K248" s="2"/>
    </row>
    <row r="249" spans="1:11" x14ac:dyDescent="0.2">
      <c r="A249" s="83"/>
      <c r="B249" s="84"/>
      <c r="C249" s="78"/>
      <c r="D249" s="78" t="s">
        <v>155</v>
      </c>
      <c r="E249" s="78"/>
      <c r="F249" s="60">
        <v>2</v>
      </c>
      <c r="G249" s="2">
        <v>2.85</v>
      </c>
      <c r="H249" s="2"/>
      <c r="I249" s="2">
        <v>2.6</v>
      </c>
      <c r="J249" s="2">
        <f t="shared" si="34"/>
        <v>14.82</v>
      </c>
      <c r="K249" s="2"/>
    </row>
    <row r="250" spans="1:11" x14ac:dyDescent="0.2">
      <c r="A250" s="83"/>
      <c r="B250" s="84"/>
      <c r="C250" s="78"/>
      <c r="D250" s="78"/>
      <c r="E250" s="78"/>
      <c r="F250" s="60">
        <v>1</v>
      </c>
      <c r="G250" s="2">
        <v>6.79</v>
      </c>
      <c r="H250" s="2"/>
      <c r="I250" s="2">
        <v>2.6</v>
      </c>
      <c r="J250" s="2">
        <f t="shared" si="34"/>
        <v>17.654</v>
      </c>
      <c r="K250" s="2"/>
    </row>
    <row r="251" spans="1:11" x14ac:dyDescent="0.2">
      <c r="A251" s="83"/>
      <c r="B251" s="84"/>
      <c r="C251" s="78"/>
      <c r="D251" s="78" t="s">
        <v>161</v>
      </c>
      <c r="E251" s="78"/>
      <c r="F251" s="60">
        <v>1</v>
      </c>
      <c r="G251" s="2">
        <v>4</v>
      </c>
      <c r="H251" s="2"/>
      <c r="I251" s="2">
        <v>2.6</v>
      </c>
      <c r="J251" s="2">
        <f t="shared" si="34"/>
        <v>10.4</v>
      </c>
      <c r="K251" s="2"/>
    </row>
    <row r="252" spans="1:11" x14ac:dyDescent="0.2">
      <c r="A252" s="83"/>
      <c r="B252" s="84"/>
      <c r="C252" s="78"/>
      <c r="D252" s="78"/>
      <c r="E252" s="78"/>
      <c r="F252" s="60">
        <v>1</v>
      </c>
      <c r="G252" s="2">
        <v>5.32</v>
      </c>
      <c r="H252" s="2"/>
      <c r="I252" s="2">
        <v>2.6</v>
      </c>
      <c r="J252" s="2">
        <f t="shared" si="34"/>
        <v>13.832000000000001</v>
      </c>
      <c r="K252" s="2"/>
    </row>
    <row r="253" spans="1:11" x14ac:dyDescent="0.2">
      <c r="A253" s="83"/>
      <c r="B253" s="84"/>
      <c r="C253" s="78"/>
      <c r="D253" s="78" t="s">
        <v>162</v>
      </c>
      <c r="E253" s="78"/>
      <c r="F253" s="60">
        <v>1</v>
      </c>
      <c r="G253" s="2">
        <v>3.85</v>
      </c>
      <c r="H253" s="2"/>
      <c r="I253" s="2">
        <v>2.6</v>
      </c>
      <c r="J253" s="2">
        <f t="shared" si="34"/>
        <v>10.01</v>
      </c>
      <c r="K253" s="2"/>
    </row>
    <row r="254" spans="1:11" x14ac:dyDescent="0.2">
      <c r="A254" s="83"/>
      <c r="B254" s="84"/>
      <c r="C254" s="78"/>
      <c r="D254" s="78"/>
      <c r="E254" s="78"/>
      <c r="F254" s="60">
        <v>2</v>
      </c>
      <c r="G254" s="2">
        <v>2.5299999999999998</v>
      </c>
      <c r="H254" s="2"/>
      <c r="I254" s="2">
        <v>2.6</v>
      </c>
      <c r="J254" s="2">
        <f t="shared" si="34"/>
        <v>13.155999999999999</v>
      </c>
      <c r="K254" s="2"/>
    </row>
    <row r="255" spans="1:11" x14ac:dyDescent="0.2">
      <c r="A255" s="83"/>
      <c r="B255" s="84"/>
      <c r="C255" s="78"/>
      <c r="D255" s="78" t="s">
        <v>145</v>
      </c>
      <c r="E255" s="78"/>
      <c r="F255" s="60">
        <v>-5</v>
      </c>
      <c r="G255" s="2">
        <v>2.2000000000000002</v>
      </c>
      <c r="H255" s="2"/>
      <c r="I255" s="2">
        <v>1.5</v>
      </c>
      <c r="J255" s="2">
        <f t="shared" ref="J255:J260" si="35">PRODUCT(F255:I255)</f>
        <v>-16.5</v>
      </c>
      <c r="K255" s="2"/>
    </row>
    <row r="256" spans="1:11" x14ac:dyDescent="0.2">
      <c r="A256" s="83"/>
      <c r="B256" s="84"/>
      <c r="C256" s="84"/>
      <c r="D256" s="78" t="s">
        <v>146</v>
      </c>
      <c r="E256" s="78"/>
      <c r="F256" s="60">
        <v>-2</v>
      </c>
      <c r="G256" s="2">
        <v>1.5</v>
      </c>
      <c r="H256" s="2"/>
      <c r="I256" s="2">
        <v>1.5</v>
      </c>
      <c r="J256" s="2">
        <f t="shared" si="35"/>
        <v>-4.5</v>
      </c>
      <c r="K256" s="2"/>
    </row>
    <row r="257" spans="1:11" x14ac:dyDescent="0.2">
      <c r="A257" s="83"/>
      <c r="B257" s="84"/>
      <c r="C257" s="84"/>
      <c r="D257" s="78" t="s">
        <v>147</v>
      </c>
      <c r="E257" s="78"/>
      <c r="F257" s="60">
        <v>-1</v>
      </c>
      <c r="G257" s="2">
        <v>1</v>
      </c>
      <c r="H257" s="2"/>
      <c r="I257" s="2">
        <v>0.8</v>
      </c>
      <c r="J257" s="2">
        <f t="shared" si="35"/>
        <v>-0.8</v>
      </c>
      <c r="K257" s="2"/>
    </row>
    <row r="258" spans="1:11" x14ac:dyDescent="0.2">
      <c r="A258" s="83"/>
      <c r="B258" s="84"/>
      <c r="C258" s="84"/>
      <c r="D258" s="78" t="s">
        <v>137</v>
      </c>
      <c r="E258" s="78"/>
      <c r="F258" s="60">
        <v>-5</v>
      </c>
      <c r="G258" s="2">
        <v>1</v>
      </c>
      <c r="H258" s="2"/>
      <c r="I258" s="2">
        <v>2.1</v>
      </c>
      <c r="J258" s="2">
        <f t="shared" si="35"/>
        <v>-10.5</v>
      </c>
      <c r="K258" s="2"/>
    </row>
    <row r="259" spans="1:11" x14ac:dyDescent="0.2">
      <c r="A259" s="83"/>
      <c r="B259" s="84"/>
      <c r="C259" s="84"/>
      <c r="D259" s="78" t="s">
        <v>138</v>
      </c>
      <c r="E259" s="78"/>
      <c r="F259" s="60">
        <v>-2</v>
      </c>
      <c r="G259" s="2">
        <v>0.9</v>
      </c>
      <c r="H259" s="2"/>
      <c r="I259" s="2">
        <v>2.1</v>
      </c>
      <c r="J259" s="2">
        <f t="shared" si="35"/>
        <v>-3.7800000000000002</v>
      </c>
      <c r="K259" s="2"/>
    </row>
    <row r="260" spans="1:11" ht="13.5" thickBot="1" x14ac:dyDescent="0.25">
      <c r="A260" s="115"/>
      <c r="B260" s="102"/>
      <c r="C260" s="102"/>
      <c r="D260" s="80" t="s">
        <v>139</v>
      </c>
      <c r="E260" s="80"/>
      <c r="F260" s="61">
        <v>-1</v>
      </c>
      <c r="G260" s="9">
        <v>0.8</v>
      </c>
      <c r="H260" s="9"/>
      <c r="I260" s="9">
        <v>2.1</v>
      </c>
      <c r="J260" s="9">
        <f t="shared" si="35"/>
        <v>-1.6800000000000002</v>
      </c>
      <c r="K260" s="9"/>
    </row>
    <row r="261" spans="1:11" ht="14.25" thickTop="1" thickBot="1" x14ac:dyDescent="0.25">
      <c r="A261" s="75" t="str">
        <f>'PRESUPUESTO GENERAL '!A36</f>
        <v>OF 11</v>
      </c>
      <c r="B261" s="76" t="str">
        <f>'PRESUPUESTO GENERAL '!B36</f>
        <v xml:space="preserve">PUERTA INTERIOR DE MADERA </v>
      </c>
      <c r="C261" s="76"/>
      <c r="D261" s="76"/>
      <c r="E261" s="76" t="str">
        <f>'PRESUPUESTO GENERAL '!C36</f>
        <v>pza</v>
      </c>
      <c r="F261" s="59"/>
      <c r="G261" s="8"/>
      <c r="H261" s="8"/>
      <c r="I261" s="8"/>
      <c r="J261" s="8"/>
      <c r="K261" s="26">
        <f>ROUND(SUM(J262:J267),2)</f>
        <v>10</v>
      </c>
    </row>
    <row r="262" spans="1:11" x14ac:dyDescent="0.2">
      <c r="A262" s="77"/>
      <c r="B262" s="78"/>
      <c r="C262" s="78" t="s">
        <v>141</v>
      </c>
      <c r="D262" s="78" t="s">
        <v>137</v>
      </c>
      <c r="E262" s="78"/>
      <c r="F262" s="60">
        <v>2</v>
      </c>
      <c r="G262" s="2"/>
      <c r="H262" s="2"/>
      <c r="I262" s="2"/>
      <c r="J262" s="2">
        <f t="shared" ref="J262:J264" si="36">PRODUCT(F262:I262)</f>
        <v>2</v>
      </c>
      <c r="K262" s="41"/>
    </row>
    <row r="263" spans="1:11" x14ac:dyDescent="0.2">
      <c r="A263" s="77"/>
      <c r="B263" s="78"/>
      <c r="C263" s="78"/>
      <c r="D263" s="78" t="s">
        <v>138</v>
      </c>
      <c r="E263" s="78"/>
      <c r="F263" s="60">
        <v>2</v>
      </c>
      <c r="G263" s="2"/>
      <c r="H263" s="2"/>
      <c r="I263" s="2"/>
      <c r="J263" s="2">
        <f t="shared" si="36"/>
        <v>2</v>
      </c>
      <c r="K263" s="41"/>
    </row>
    <row r="264" spans="1:11" x14ac:dyDescent="0.2">
      <c r="A264" s="77"/>
      <c r="B264" s="78"/>
      <c r="C264" s="78"/>
      <c r="D264" s="78" t="s">
        <v>139</v>
      </c>
      <c r="E264" s="78"/>
      <c r="F264" s="60">
        <v>1</v>
      </c>
      <c r="G264" s="2"/>
      <c r="H264" s="2"/>
      <c r="I264" s="2"/>
      <c r="J264" s="2">
        <f t="shared" si="36"/>
        <v>1</v>
      </c>
      <c r="K264" s="41"/>
    </row>
    <row r="265" spans="1:11" x14ac:dyDescent="0.2">
      <c r="A265" s="77"/>
      <c r="B265" s="78"/>
      <c r="C265" s="78" t="s">
        <v>148</v>
      </c>
      <c r="D265" s="78" t="s">
        <v>137</v>
      </c>
      <c r="E265" s="78"/>
      <c r="F265" s="60">
        <v>2</v>
      </c>
      <c r="G265" s="2"/>
      <c r="H265" s="2"/>
      <c r="I265" s="2"/>
      <c r="J265" s="2">
        <f t="shared" ref="J265:J267" si="37">PRODUCT(F265:I265)</f>
        <v>2</v>
      </c>
      <c r="K265" s="41"/>
    </row>
    <row r="266" spans="1:11" x14ac:dyDescent="0.2">
      <c r="A266" s="77"/>
      <c r="B266" s="78"/>
      <c r="C266" s="78"/>
      <c r="D266" s="78" t="s">
        <v>138</v>
      </c>
      <c r="E266" s="78"/>
      <c r="F266" s="60">
        <v>2</v>
      </c>
      <c r="G266" s="2"/>
      <c r="H266" s="2"/>
      <c r="I266" s="2"/>
      <c r="J266" s="2">
        <f t="shared" si="37"/>
        <v>2</v>
      </c>
      <c r="K266" s="41"/>
    </row>
    <row r="267" spans="1:11" ht="13.5" thickBot="1" x14ac:dyDescent="0.25">
      <c r="A267" s="79"/>
      <c r="B267" s="80"/>
      <c r="C267" s="80"/>
      <c r="D267" s="80" t="s">
        <v>139</v>
      </c>
      <c r="E267" s="80"/>
      <c r="F267" s="61">
        <v>1</v>
      </c>
      <c r="G267" s="9"/>
      <c r="H267" s="9"/>
      <c r="I267" s="9"/>
      <c r="J267" s="9">
        <f t="shared" si="37"/>
        <v>1</v>
      </c>
      <c r="K267" s="42"/>
    </row>
    <row r="268" spans="1:11" ht="14.25" thickTop="1" thickBot="1" x14ac:dyDescent="0.25">
      <c r="A268" s="75" t="str">
        <f>'PRESUPUESTO GENERAL '!A37</f>
        <v>OF 12</v>
      </c>
      <c r="B268" s="76" t="str">
        <f>'PRESUPUESTO GENERAL '!B37</f>
        <v xml:space="preserve">PUERTA EXTERIOR DE MADERA </v>
      </c>
      <c r="C268" s="76"/>
      <c r="D268" s="76"/>
      <c r="E268" s="76" t="str">
        <f>'PRESUPUESTO GENERAL '!C37</f>
        <v>pza</v>
      </c>
      <c r="F268" s="59"/>
      <c r="G268" s="8"/>
      <c r="H268" s="8"/>
      <c r="I268" s="8"/>
      <c r="J268" s="8"/>
      <c r="K268" s="26">
        <f>ROUND(SUM(J269:J270),2)</f>
        <v>2</v>
      </c>
    </row>
    <row r="269" spans="1:11" x14ac:dyDescent="0.2">
      <c r="A269" s="77"/>
      <c r="B269" s="78"/>
      <c r="C269" s="78" t="s">
        <v>141</v>
      </c>
      <c r="D269" s="78" t="s">
        <v>137</v>
      </c>
      <c r="E269" s="78"/>
      <c r="F269" s="60">
        <v>1</v>
      </c>
      <c r="G269" s="2"/>
      <c r="H269" s="2"/>
      <c r="I269" s="2"/>
      <c r="J269" s="2">
        <f t="shared" ref="J269:J270" si="38">PRODUCT(F269:I269)</f>
        <v>1</v>
      </c>
      <c r="K269" s="41"/>
    </row>
    <row r="270" spans="1:11" ht="13.5" thickBot="1" x14ac:dyDescent="0.25">
      <c r="A270" s="79"/>
      <c r="B270" s="80"/>
      <c r="C270" s="80" t="s">
        <v>148</v>
      </c>
      <c r="D270" s="80" t="s">
        <v>137</v>
      </c>
      <c r="E270" s="80"/>
      <c r="F270" s="61">
        <v>1</v>
      </c>
      <c r="G270" s="9"/>
      <c r="H270" s="9"/>
      <c r="I270" s="9"/>
      <c r="J270" s="9">
        <f t="shared" si="38"/>
        <v>1</v>
      </c>
      <c r="K270" s="42"/>
    </row>
    <row r="271" spans="1:11" ht="14.25" thickTop="1" thickBot="1" x14ac:dyDescent="0.25">
      <c r="A271" s="81" t="str">
        <f>'PRESUPUESTO GENERAL '!A38</f>
        <v>OF 13</v>
      </c>
      <c r="B271" s="82" t="str">
        <f>'PRESUPUESTO GENERAL '!B38</f>
        <v xml:space="preserve">VENTANA DE ALUMINIO </v>
      </c>
      <c r="C271" s="82"/>
      <c r="D271" s="82"/>
      <c r="E271" s="82" t="str">
        <f>'PRESUPUESTO GENERAL '!C38</f>
        <v>m²</v>
      </c>
      <c r="F271" s="62"/>
      <c r="G271" s="10"/>
      <c r="H271" s="10"/>
      <c r="I271" s="10"/>
      <c r="J271" s="10"/>
      <c r="K271" s="38">
        <f>ROUND(SUM(J272:J277),2)</f>
        <v>12.7</v>
      </c>
    </row>
    <row r="272" spans="1:11" x14ac:dyDescent="0.2">
      <c r="A272" s="83"/>
      <c r="B272" s="84"/>
      <c r="C272" s="84" t="s">
        <v>141</v>
      </c>
      <c r="D272" s="84" t="s">
        <v>145</v>
      </c>
      <c r="E272" s="84"/>
      <c r="F272" s="63"/>
      <c r="G272" s="3">
        <v>2.2000000000000002</v>
      </c>
      <c r="H272" s="3"/>
      <c r="I272" s="3">
        <v>1.5</v>
      </c>
      <c r="J272" s="2">
        <f t="shared" ref="J272:J274" si="39">PRODUCT(F272:I272)</f>
        <v>3.3000000000000003</v>
      </c>
      <c r="K272" s="40"/>
    </row>
    <row r="273" spans="1:11" x14ac:dyDescent="0.2">
      <c r="A273" s="83"/>
      <c r="B273" s="84"/>
      <c r="C273" s="84"/>
      <c r="D273" s="84" t="s">
        <v>146</v>
      </c>
      <c r="E273" s="84"/>
      <c r="F273" s="63"/>
      <c r="G273" s="3">
        <v>1.5</v>
      </c>
      <c r="H273" s="3"/>
      <c r="I273" s="3">
        <v>1.5</v>
      </c>
      <c r="J273" s="2">
        <f t="shared" si="39"/>
        <v>2.25</v>
      </c>
      <c r="K273" s="40"/>
    </row>
    <row r="274" spans="1:11" x14ac:dyDescent="0.2">
      <c r="A274" s="83"/>
      <c r="B274" s="84"/>
      <c r="C274" s="84"/>
      <c r="D274" s="84" t="s">
        <v>147</v>
      </c>
      <c r="E274" s="84"/>
      <c r="F274" s="63"/>
      <c r="G274" s="3">
        <v>1</v>
      </c>
      <c r="H274" s="3"/>
      <c r="I274" s="3">
        <v>0.8</v>
      </c>
      <c r="J274" s="2">
        <f t="shared" si="39"/>
        <v>0.8</v>
      </c>
      <c r="K274" s="40"/>
    </row>
    <row r="275" spans="1:11" x14ac:dyDescent="0.2">
      <c r="A275" s="83"/>
      <c r="B275" s="84"/>
      <c r="C275" s="78" t="s">
        <v>148</v>
      </c>
      <c r="D275" s="84" t="s">
        <v>145</v>
      </c>
      <c r="E275" s="84"/>
      <c r="F275" s="63"/>
      <c r="G275" s="3">
        <v>2.2000000000000002</v>
      </c>
      <c r="H275" s="3"/>
      <c r="I275" s="3">
        <v>1.5</v>
      </c>
      <c r="J275" s="2">
        <f t="shared" ref="J275:J277" si="40">PRODUCT(F275:I275)</f>
        <v>3.3000000000000003</v>
      </c>
      <c r="K275" s="40"/>
    </row>
    <row r="276" spans="1:11" x14ac:dyDescent="0.2">
      <c r="A276" s="83"/>
      <c r="B276" s="84"/>
      <c r="C276" s="84"/>
      <c r="D276" s="84" t="s">
        <v>146</v>
      </c>
      <c r="E276" s="84"/>
      <c r="F276" s="63"/>
      <c r="G276" s="3">
        <v>1.5</v>
      </c>
      <c r="H276" s="3"/>
      <c r="I276" s="3">
        <v>1.5</v>
      </c>
      <c r="J276" s="2">
        <f t="shared" si="40"/>
        <v>2.25</v>
      </c>
      <c r="K276" s="40"/>
    </row>
    <row r="277" spans="1:11" ht="13.5" thickBot="1" x14ac:dyDescent="0.25">
      <c r="A277" s="115"/>
      <c r="B277" s="102"/>
      <c r="C277" s="102"/>
      <c r="D277" s="102" t="s">
        <v>147</v>
      </c>
      <c r="E277" s="102"/>
      <c r="F277" s="107"/>
      <c r="G277" s="108">
        <v>1</v>
      </c>
      <c r="H277" s="108"/>
      <c r="I277" s="108">
        <v>0.8</v>
      </c>
      <c r="J277" s="9">
        <f t="shared" si="40"/>
        <v>0.8</v>
      </c>
      <c r="K277" s="39"/>
    </row>
    <row r="278" spans="1:11" ht="14.25" thickTop="1" thickBot="1" x14ac:dyDescent="0.25">
      <c r="A278" s="75" t="str">
        <f>'PRESUPUESTO GENERAL '!A39</f>
        <v>OF 14</v>
      </c>
      <c r="B278" s="76" t="str">
        <f>'PRESUPUESTO GENERAL '!B39</f>
        <v xml:space="preserve">ZOCALO DE CERAMICA </v>
      </c>
      <c r="C278" s="76"/>
      <c r="D278" s="76"/>
      <c r="E278" s="76" t="str">
        <f>'PRESUPUESTO GENERAL '!C39</f>
        <v>m</v>
      </c>
      <c r="F278" s="59"/>
      <c r="G278" s="8"/>
      <c r="H278" s="8"/>
      <c r="I278" s="8"/>
      <c r="J278" s="8"/>
      <c r="K278" s="26">
        <f>ROUND(SUM(J279:J284),2)</f>
        <v>19.32</v>
      </c>
    </row>
    <row r="279" spans="1:11" x14ac:dyDescent="0.2">
      <c r="A279" s="89"/>
      <c r="B279" s="90"/>
      <c r="C279" s="78" t="s">
        <v>152</v>
      </c>
      <c r="D279" s="78" t="s">
        <v>163</v>
      </c>
      <c r="E279" s="78"/>
      <c r="F279" s="60">
        <v>2</v>
      </c>
      <c r="G279" s="2">
        <v>2.85</v>
      </c>
      <c r="H279" s="2"/>
      <c r="I279" s="2"/>
      <c r="J279" s="2">
        <f t="shared" ref="J279:J283" si="41">PRODUCT(F279:I279)</f>
        <v>5.7</v>
      </c>
      <c r="K279" s="48"/>
    </row>
    <row r="280" spans="1:11" x14ac:dyDescent="0.2">
      <c r="A280" s="89"/>
      <c r="B280" s="90"/>
      <c r="C280" s="78"/>
      <c r="D280" s="78"/>
      <c r="E280" s="78"/>
      <c r="F280" s="60">
        <v>2</v>
      </c>
      <c r="G280" s="2">
        <v>2.4300000000000002</v>
      </c>
      <c r="H280" s="2"/>
      <c r="I280" s="2"/>
      <c r="J280" s="2">
        <f t="shared" si="41"/>
        <v>4.8600000000000003</v>
      </c>
      <c r="K280" s="48"/>
    </row>
    <row r="281" spans="1:11" x14ac:dyDescent="0.2">
      <c r="A281" s="89"/>
      <c r="B281" s="90"/>
      <c r="C281" s="78"/>
      <c r="D281" s="78" t="s">
        <v>138</v>
      </c>
      <c r="E281" s="78"/>
      <c r="F281" s="60">
        <v>-1</v>
      </c>
      <c r="G281" s="2">
        <v>0.9</v>
      </c>
      <c r="H281" s="2"/>
      <c r="I281" s="2"/>
      <c r="J281" s="2">
        <f t="shared" si="41"/>
        <v>-0.9</v>
      </c>
      <c r="K281" s="48"/>
    </row>
    <row r="282" spans="1:11" x14ac:dyDescent="0.2">
      <c r="A282" s="89"/>
      <c r="B282" s="90"/>
      <c r="C282" s="78" t="s">
        <v>152</v>
      </c>
      <c r="D282" s="78" t="s">
        <v>163</v>
      </c>
      <c r="E282" s="78"/>
      <c r="F282" s="60">
        <v>2</v>
      </c>
      <c r="G282" s="2">
        <v>2.85</v>
      </c>
      <c r="H282" s="2"/>
      <c r="I282" s="2"/>
      <c r="J282" s="2">
        <f t="shared" si="41"/>
        <v>5.7</v>
      </c>
      <c r="K282" s="48"/>
    </row>
    <row r="283" spans="1:11" x14ac:dyDescent="0.2">
      <c r="A283" s="89"/>
      <c r="B283" s="90"/>
      <c r="C283" s="78"/>
      <c r="D283" s="78"/>
      <c r="E283" s="78"/>
      <c r="F283" s="60">
        <v>2</v>
      </c>
      <c r="G283" s="2">
        <v>2.4300000000000002</v>
      </c>
      <c r="H283" s="2"/>
      <c r="I283" s="2"/>
      <c r="J283" s="2">
        <f t="shared" si="41"/>
        <v>4.8600000000000003</v>
      </c>
      <c r="K283" s="48"/>
    </row>
    <row r="284" spans="1:11" ht="13.5" thickBot="1" x14ac:dyDescent="0.25">
      <c r="A284" s="79"/>
      <c r="B284" s="80"/>
      <c r="C284" s="80"/>
      <c r="D284" s="80" t="s">
        <v>138</v>
      </c>
      <c r="E284" s="80"/>
      <c r="F284" s="61">
        <v>-1</v>
      </c>
      <c r="G284" s="9">
        <v>0.9</v>
      </c>
      <c r="H284" s="9"/>
      <c r="I284" s="9"/>
      <c r="J284" s="9">
        <f>PRODUCT(F284:I284)</f>
        <v>-0.9</v>
      </c>
      <c r="K284" s="42"/>
    </row>
    <row r="285" spans="1:11" ht="14.25" thickTop="1" thickBot="1" x14ac:dyDescent="0.25">
      <c r="A285" s="93" t="str">
        <f>'PRESUPUESTO GENERAL '!A40</f>
        <v>OF 15</v>
      </c>
      <c r="B285" s="88" t="str">
        <f>'PRESUPUESTO GENERAL '!B40</f>
        <v xml:space="preserve">ZOCALO DE MADERA </v>
      </c>
      <c r="C285" s="88"/>
      <c r="D285" s="88"/>
      <c r="E285" s="88" t="str">
        <f>'PRESUPUESTO GENERAL '!C40</f>
        <v>m</v>
      </c>
      <c r="F285" s="64"/>
      <c r="G285" s="12"/>
      <c r="H285" s="12"/>
      <c r="I285" s="12"/>
      <c r="J285" s="12"/>
      <c r="K285" s="38">
        <f>ROUND(SUM(J286:J315),2)</f>
        <v>138.68</v>
      </c>
    </row>
    <row r="286" spans="1:11" x14ac:dyDescent="0.2">
      <c r="A286" s="78"/>
      <c r="B286" s="78"/>
      <c r="C286" s="78" t="s">
        <v>141</v>
      </c>
      <c r="D286" s="78" t="s">
        <v>151</v>
      </c>
      <c r="E286" s="78"/>
      <c r="F286" s="60">
        <v>2</v>
      </c>
      <c r="G286" s="2">
        <v>4.83</v>
      </c>
      <c r="H286" s="2"/>
      <c r="I286" s="2"/>
      <c r="J286" s="2">
        <f>PRODUCT(F286:I286)</f>
        <v>9.66</v>
      </c>
      <c r="K286" s="2"/>
    </row>
    <row r="287" spans="1:11" x14ac:dyDescent="0.2">
      <c r="A287" s="78"/>
      <c r="B287" s="78"/>
      <c r="C287" s="78"/>
      <c r="D287" s="78"/>
      <c r="E287" s="78"/>
      <c r="F287" s="60">
        <v>2</v>
      </c>
      <c r="G287" s="2">
        <v>3.84</v>
      </c>
      <c r="H287" s="2"/>
      <c r="I287" s="2"/>
      <c r="J287" s="2">
        <f>PRODUCT(F287:I287)</f>
        <v>7.68</v>
      </c>
      <c r="K287" s="2"/>
    </row>
    <row r="288" spans="1:11" x14ac:dyDescent="0.2">
      <c r="A288" s="78"/>
      <c r="B288" s="78"/>
      <c r="C288" s="78"/>
      <c r="D288" s="78" t="s">
        <v>160</v>
      </c>
      <c r="E288" s="78"/>
      <c r="F288" s="60">
        <v>2</v>
      </c>
      <c r="G288" s="2">
        <v>4.83</v>
      </c>
      <c r="H288" s="2"/>
      <c r="I288" s="2"/>
      <c r="J288" s="2">
        <f t="shared" ref="J288:J300" si="42">PRODUCT(F288:I288)</f>
        <v>9.66</v>
      </c>
      <c r="K288" s="2"/>
    </row>
    <row r="289" spans="1:11" x14ac:dyDescent="0.2">
      <c r="A289" s="78"/>
      <c r="B289" s="78"/>
      <c r="C289" s="78"/>
      <c r="D289" s="78"/>
      <c r="E289" s="78"/>
      <c r="F289" s="60">
        <v>2</v>
      </c>
      <c r="G289" s="2">
        <v>3.86</v>
      </c>
      <c r="H289" s="2"/>
      <c r="I289" s="2"/>
      <c r="J289" s="2">
        <f t="shared" si="42"/>
        <v>7.72</v>
      </c>
      <c r="K289" s="2"/>
    </row>
    <row r="290" spans="1:11" x14ac:dyDescent="0.2">
      <c r="A290" s="78"/>
      <c r="B290" s="78"/>
      <c r="C290" s="78"/>
      <c r="D290" s="78" t="s">
        <v>153</v>
      </c>
      <c r="E290" s="78"/>
      <c r="F290" s="60">
        <v>2</v>
      </c>
      <c r="G290" s="2">
        <v>3.85</v>
      </c>
      <c r="H290" s="2"/>
      <c r="I290" s="2"/>
      <c r="J290" s="2">
        <f t="shared" si="42"/>
        <v>7.7</v>
      </c>
      <c r="K290" s="2"/>
    </row>
    <row r="291" spans="1:11" x14ac:dyDescent="0.2">
      <c r="A291" s="78"/>
      <c r="B291" s="78"/>
      <c r="C291" s="78"/>
      <c r="D291" s="78"/>
      <c r="E291" s="78"/>
      <c r="F291" s="60">
        <v>2</v>
      </c>
      <c r="G291" s="2">
        <v>2.85</v>
      </c>
      <c r="H291" s="2"/>
      <c r="I291" s="2"/>
      <c r="J291" s="2">
        <f t="shared" si="42"/>
        <v>5.7</v>
      </c>
      <c r="K291" s="2"/>
    </row>
    <row r="292" spans="1:11" x14ac:dyDescent="0.2">
      <c r="A292" s="78"/>
      <c r="B292" s="78"/>
      <c r="C292" s="78"/>
      <c r="D292" s="78" t="s">
        <v>155</v>
      </c>
      <c r="E292" s="78"/>
      <c r="F292" s="60">
        <v>2</v>
      </c>
      <c r="G292" s="2">
        <v>2.85</v>
      </c>
      <c r="H292" s="2"/>
      <c r="I292" s="2"/>
      <c r="J292" s="2">
        <f t="shared" si="42"/>
        <v>5.7</v>
      </c>
      <c r="K292" s="2"/>
    </row>
    <row r="293" spans="1:11" x14ac:dyDescent="0.2">
      <c r="A293" s="78"/>
      <c r="B293" s="78"/>
      <c r="C293" s="78"/>
      <c r="D293" s="78"/>
      <c r="E293" s="78"/>
      <c r="F293" s="60">
        <v>1</v>
      </c>
      <c r="G293" s="2">
        <v>6.79</v>
      </c>
      <c r="H293" s="2"/>
      <c r="I293" s="2"/>
      <c r="J293" s="2">
        <f t="shared" si="42"/>
        <v>6.79</v>
      </c>
      <c r="K293" s="2"/>
    </row>
    <row r="294" spans="1:11" x14ac:dyDescent="0.2">
      <c r="A294" s="78"/>
      <c r="B294" s="78"/>
      <c r="C294" s="78"/>
      <c r="D294" s="78" t="s">
        <v>161</v>
      </c>
      <c r="E294" s="78"/>
      <c r="F294" s="60">
        <v>1</v>
      </c>
      <c r="G294" s="2">
        <v>4</v>
      </c>
      <c r="H294" s="2"/>
      <c r="I294" s="2"/>
      <c r="J294" s="2">
        <f t="shared" si="42"/>
        <v>4</v>
      </c>
      <c r="K294" s="2"/>
    </row>
    <row r="295" spans="1:11" x14ac:dyDescent="0.2">
      <c r="A295" s="78"/>
      <c r="B295" s="78"/>
      <c r="C295" s="78"/>
      <c r="D295" s="78"/>
      <c r="E295" s="78"/>
      <c r="F295" s="60">
        <v>1</v>
      </c>
      <c r="G295" s="2">
        <v>5.32</v>
      </c>
      <c r="H295" s="2"/>
      <c r="I295" s="2"/>
      <c r="J295" s="2">
        <f t="shared" si="42"/>
        <v>5.32</v>
      </c>
      <c r="K295" s="2"/>
    </row>
    <row r="296" spans="1:11" x14ac:dyDescent="0.2">
      <c r="A296" s="78"/>
      <c r="B296" s="78"/>
      <c r="C296" s="78"/>
      <c r="D296" s="78" t="s">
        <v>162</v>
      </c>
      <c r="E296" s="78"/>
      <c r="F296" s="60">
        <v>1</v>
      </c>
      <c r="G296" s="2">
        <v>3.85</v>
      </c>
      <c r="H296" s="2"/>
      <c r="I296" s="2"/>
      <c r="J296" s="2">
        <f t="shared" si="42"/>
        <v>3.85</v>
      </c>
      <c r="K296" s="2"/>
    </row>
    <row r="297" spans="1:11" x14ac:dyDescent="0.2">
      <c r="A297" s="78"/>
      <c r="B297" s="78"/>
      <c r="C297" s="78"/>
      <c r="D297" s="78"/>
      <c r="E297" s="78"/>
      <c r="F297" s="60">
        <v>2</v>
      </c>
      <c r="G297" s="2">
        <v>2.5299999999999998</v>
      </c>
      <c r="H297" s="2"/>
      <c r="I297" s="2"/>
      <c r="J297" s="2">
        <f t="shared" si="42"/>
        <v>5.0599999999999996</v>
      </c>
      <c r="K297" s="2"/>
    </row>
    <row r="298" spans="1:11" x14ac:dyDescent="0.2">
      <c r="A298" s="78"/>
      <c r="B298" s="78"/>
      <c r="C298" s="78"/>
      <c r="D298" s="78" t="s">
        <v>137</v>
      </c>
      <c r="E298" s="78"/>
      <c r="F298" s="60">
        <v>-6</v>
      </c>
      <c r="G298" s="2">
        <v>1</v>
      </c>
      <c r="H298" s="2"/>
      <c r="I298" s="2"/>
      <c r="J298" s="2">
        <f t="shared" si="42"/>
        <v>-6</v>
      </c>
      <c r="K298" s="2"/>
    </row>
    <row r="299" spans="1:11" x14ac:dyDescent="0.2">
      <c r="A299" s="78"/>
      <c r="B299" s="78"/>
      <c r="C299" s="78"/>
      <c r="D299" s="78" t="s">
        <v>138</v>
      </c>
      <c r="E299" s="78"/>
      <c r="F299" s="60">
        <v>-3</v>
      </c>
      <c r="G299" s="2">
        <v>0.9</v>
      </c>
      <c r="H299" s="2"/>
      <c r="I299" s="2"/>
      <c r="J299" s="2">
        <f t="shared" si="42"/>
        <v>-2.7</v>
      </c>
      <c r="K299" s="2"/>
    </row>
    <row r="300" spans="1:11" x14ac:dyDescent="0.2">
      <c r="A300" s="78"/>
      <c r="B300" s="78"/>
      <c r="C300" s="78"/>
      <c r="D300" s="78" t="s">
        <v>139</v>
      </c>
      <c r="E300" s="78"/>
      <c r="F300" s="60">
        <v>-1</v>
      </c>
      <c r="G300" s="2">
        <v>0.8</v>
      </c>
      <c r="H300" s="2"/>
      <c r="I300" s="2"/>
      <c r="J300" s="2">
        <f t="shared" si="42"/>
        <v>-0.8</v>
      </c>
      <c r="K300" s="2"/>
    </row>
    <row r="301" spans="1:11" x14ac:dyDescent="0.2">
      <c r="A301" s="78"/>
      <c r="B301" s="78"/>
      <c r="C301" s="78" t="s">
        <v>148</v>
      </c>
      <c r="D301" s="78" t="s">
        <v>151</v>
      </c>
      <c r="E301" s="78"/>
      <c r="F301" s="60">
        <v>2</v>
      </c>
      <c r="G301" s="2">
        <v>4.83</v>
      </c>
      <c r="H301" s="2"/>
      <c r="I301" s="2"/>
      <c r="J301" s="2">
        <f>PRODUCT(F301:I301)</f>
        <v>9.66</v>
      </c>
      <c r="K301" s="2"/>
    </row>
    <row r="302" spans="1:11" x14ac:dyDescent="0.2">
      <c r="A302" s="78"/>
      <c r="B302" s="78"/>
      <c r="C302" s="78"/>
      <c r="D302" s="78"/>
      <c r="E302" s="78"/>
      <c r="F302" s="60">
        <v>2</v>
      </c>
      <c r="G302" s="2">
        <v>3.84</v>
      </c>
      <c r="H302" s="2"/>
      <c r="I302" s="2"/>
      <c r="J302" s="2">
        <f>PRODUCT(F302:I302)</f>
        <v>7.68</v>
      </c>
      <c r="K302" s="2"/>
    </row>
    <row r="303" spans="1:11" x14ac:dyDescent="0.2">
      <c r="A303" s="78"/>
      <c r="B303" s="78"/>
      <c r="C303" s="78"/>
      <c r="D303" s="78" t="s">
        <v>160</v>
      </c>
      <c r="E303" s="78"/>
      <c r="F303" s="60">
        <v>2</v>
      </c>
      <c r="G303" s="2">
        <v>4.83</v>
      </c>
      <c r="H303" s="2"/>
      <c r="I303" s="2"/>
      <c r="J303" s="2">
        <f t="shared" ref="J303:J315" si="43">PRODUCT(F303:I303)</f>
        <v>9.66</v>
      </c>
      <c r="K303" s="2"/>
    </row>
    <row r="304" spans="1:11" x14ac:dyDescent="0.2">
      <c r="A304" s="78"/>
      <c r="B304" s="78"/>
      <c r="C304" s="78"/>
      <c r="D304" s="78"/>
      <c r="E304" s="78"/>
      <c r="F304" s="60">
        <v>2</v>
      </c>
      <c r="G304" s="2">
        <v>3.86</v>
      </c>
      <c r="H304" s="2"/>
      <c r="I304" s="2"/>
      <c r="J304" s="2">
        <f t="shared" si="43"/>
        <v>7.72</v>
      </c>
      <c r="K304" s="2"/>
    </row>
    <row r="305" spans="1:11" x14ac:dyDescent="0.2">
      <c r="A305" s="78"/>
      <c r="B305" s="78"/>
      <c r="C305" s="78"/>
      <c r="D305" s="78" t="s">
        <v>153</v>
      </c>
      <c r="E305" s="78"/>
      <c r="F305" s="60">
        <v>2</v>
      </c>
      <c r="G305" s="2">
        <v>3.85</v>
      </c>
      <c r="H305" s="2"/>
      <c r="I305" s="2"/>
      <c r="J305" s="2">
        <f t="shared" si="43"/>
        <v>7.7</v>
      </c>
      <c r="K305" s="2"/>
    </row>
    <row r="306" spans="1:11" x14ac:dyDescent="0.2">
      <c r="A306" s="78"/>
      <c r="B306" s="78"/>
      <c r="C306" s="78"/>
      <c r="D306" s="78"/>
      <c r="E306" s="78"/>
      <c r="F306" s="60">
        <v>2</v>
      </c>
      <c r="G306" s="2">
        <v>2.85</v>
      </c>
      <c r="H306" s="2"/>
      <c r="I306" s="2"/>
      <c r="J306" s="2">
        <f t="shared" si="43"/>
        <v>5.7</v>
      </c>
      <c r="K306" s="2"/>
    </row>
    <row r="307" spans="1:11" x14ac:dyDescent="0.2">
      <c r="A307" s="78"/>
      <c r="B307" s="78"/>
      <c r="C307" s="78"/>
      <c r="D307" s="78" t="s">
        <v>155</v>
      </c>
      <c r="E307" s="78"/>
      <c r="F307" s="60">
        <v>2</v>
      </c>
      <c r="G307" s="2">
        <v>2.85</v>
      </c>
      <c r="H307" s="2"/>
      <c r="I307" s="2"/>
      <c r="J307" s="2">
        <f t="shared" si="43"/>
        <v>5.7</v>
      </c>
      <c r="K307" s="2"/>
    </row>
    <row r="308" spans="1:11" x14ac:dyDescent="0.2">
      <c r="A308" s="78"/>
      <c r="B308" s="78"/>
      <c r="C308" s="78"/>
      <c r="D308" s="78"/>
      <c r="E308" s="78"/>
      <c r="F308" s="60">
        <v>1</v>
      </c>
      <c r="G308" s="2">
        <v>6.79</v>
      </c>
      <c r="H308" s="2"/>
      <c r="I308" s="2"/>
      <c r="J308" s="2">
        <f t="shared" si="43"/>
        <v>6.79</v>
      </c>
      <c r="K308" s="2"/>
    </row>
    <row r="309" spans="1:11" x14ac:dyDescent="0.2">
      <c r="A309" s="78"/>
      <c r="B309" s="78"/>
      <c r="C309" s="78"/>
      <c r="D309" s="78" t="s">
        <v>161</v>
      </c>
      <c r="E309" s="78"/>
      <c r="F309" s="60">
        <v>1</v>
      </c>
      <c r="G309" s="2">
        <v>4</v>
      </c>
      <c r="H309" s="2"/>
      <c r="I309" s="2"/>
      <c r="J309" s="2">
        <f t="shared" si="43"/>
        <v>4</v>
      </c>
      <c r="K309" s="2"/>
    </row>
    <row r="310" spans="1:11" x14ac:dyDescent="0.2">
      <c r="A310" s="78"/>
      <c r="B310" s="78"/>
      <c r="C310" s="78"/>
      <c r="D310" s="78"/>
      <c r="E310" s="78"/>
      <c r="F310" s="60">
        <v>1</v>
      </c>
      <c r="G310" s="2">
        <v>5.32</v>
      </c>
      <c r="H310" s="2"/>
      <c r="I310" s="2"/>
      <c r="J310" s="2">
        <f t="shared" si="43"/>
        <v>5.32</v>
      </c>
      <c r="K310" s="2"/>
    </row>
    <row r="311" spans="1:11" x14ac:dyDescent="0.2">
      <c r="A311" s="78"/>
      <c r="B311" s="78"/>
      <c r="C311" s="78"/>
      <c r="D311" s="78" t="s">
        <v>162</v>
      </c>
      <c r="E311" s="78"/>
      <c r="F311" s="60">
        <v>1</v>
      </c>
      <c r="G311" s="2">
        <v>3.85</v>
      </c>
      <c r="H311" s="2"/>
      <c r="I311" s="2"/>
      <c r="J311" s="2">
        <f t="shared" si="43"/>
        <v>3.85</v>
      </c>
      <c r="K311" s="2"/>
    </row>
    <row r="312" spans="1:11" x14ac:dyDescent="0.2">
      <c r="A312" s="78"/>
      <c r="B312" s="78"/>
      <c r="C312" s="78"/>
      <c r="D312" s="78"/>
      <c r="E312" s="78"/>
      <c r="F312" s="60">
        <v>2</v>
      </c>
      <c r="G312" s="2">
        <v>2.5299999999999998</v>
      </c>
      <c r="H312" s="2"/>
      <c r="I312" s="2"/>
      <c r="J312" s="2">
        <f t="shared" si="43"/>
        <v>5.0599999999999996</v>
      </c>
      <c r="K312" s="2"/>
    </row>
    <row r="313" spans="1:11" x14ac:dyDescent="0.2">
      <c r="A313" s="78"/>
      <c r="B313" s="78"/>
      <c r="C313" s="78"/>
      <c r="D313" s="78" t="s">
        <v>137</v>
      </c>
      <c r="E313" s="78"/>
      <c r="F313" s="60">
        <v>-6</v>
      </c>
      <c r="G313" s="2">
        <v>1</v>
      </c>
      <c r="H313" s="2"/>
      <c r="I313" s="2"/>
      <c r="J313" s="2">
        <f t="shared" si="43"/>
        <v>-6</v>
      </c>
      <c r="K313" s="2"/>
    </row>
    <row r="314" spans="1:11" x14ac:dyDescent="0.2">
      <c r="A314" s="78"/>
      <c r="B314" s="78"/>
      <c r="C314" s="78"/>
      <c r="D314" s="78" t="s">
        <v>138</v>
      </c>
      <c r="E314" s="78"/>
      <c r="F314" s="60">
        <v>-3</v>
      </c>
      <c r="G314" s="2">
        <v>0.9</v>
      </c>
      <c r="H314" s="2"/>
      <c r="I314" s="2"/>
      <c r="J314" s="2">
        <f t="shared" si="43"/>
        <v>-2.7</v>
      </c>
      <c r="K314" s="2"/>
    </row>
    <row r="315" spans="1:11" ht="13.5" thickBot="1" x14ac:dyDescent="0.25">
      <c r="A315" s="80"/>
      <c r="B315" s="80"/>
      <c r="C315" s="80"/>
      <c r="D315" s="80" t="s">
        <v>139</v>
      </c>
      <c r="E315" s="80"/>
      <c r="F315" s="61">
        <v>-1</v>
      </c>
      <c r="G315" s="9">
        <v>0.8</v>
      </c>
      <c r="H315" s="9"/>
      <c r="I315" s="9"/>
      <c r="J315" s="9">
        <f t="shared" si="43"/>
        <v>-0.8</v>
      </c>
      <c r="K315" s="9"/>
    </row>
    <row r="316" spans="1:11" ht="13.5" thickTop="1" x14ac:dyDescent="0.2">
      <c r="A316" s="98" t="str">
        <f>'PRESUPUESTO GENERAL '!A41</f>
        <v>MODULO IV: OBRA INSTALACIONES HIDROSANITARIAS</v>
      </c>
      <c r="B316" s="98"/>
      <c r="C316" s="98"/>
      <c r="D316" s="98"/>
      <c r="E316" s="98"/>
      <c r="F316" s="68"/>
      <c r="G316" s="54"/>
      <c r="H316" s="54"/>
      <c r="I316" s="54"/>
      <c r="J316" s="54"/>
      <c r="K316" s="54"/>
    </row>
    <row r="317" spans="1:11" x14ac:dyDescent="0.2">
      <c r="A317" s="99" t="str">
        <f>'PRESUPUESTO GENERAL '!A42</f>
        <v>IHS 01</v>
      </c>
      <c r="B317" s="99" t="str">
        <f>'PRESUPUESTO GENERAL '!B42</f>
        <v xml:space="preserve">BAJANTE DE CALAMINA </v>
      </c>
      <c r="C317" s="99"/>
      <c r="D317" s="99"/>
      <c r="E317" s="99" t="str">
        <f>'PRESUPUESTO GENERAL '!C42</f>
        <v>m</v>
      </c>
      <c r="F317" s="100"/>
      <c r="G317" s="101"/>
      <c r="H317" s="101"/>
      <c r="I317" s="101"/>
      <c r="J317" s="101"/>
      <c r="K317" s="53">
        <f>ROUND(SUM(J318),2)</f>
        <v>11.56</v>
      </c>
    </row>
    <row r="318" spans="1:11" ht="13.5" thickBot="1" x14ac:dyDescent="0.25">
      <c r="A318" s="80"/>
      <c r="B318" s="80"/>
      <c r="C318" s="80"/>
      <c r="D318" s="80"/>
      <c r="E318" s="80"/>
      <c r="F318" s="61">
        <v>2</v>
      </c>
      <c r="G318" s="9">
        <v>5.78</v>
      </c>
      <c r="H318" s="9"/>
      <c r="I318" s="9"/>
      <c r="J318" s="9">
        <f>PRODUCT(F318:I318)</f>
        <v>11.56</v>
      </c>
      <c r="K318" s="9"/>
    </row>
    <row r="319" spans="1:11" ht="14.25" thickTop="1" thickBot="1" x14ac:dyDescent="0.25">
      <c r="A319" s="76" t="str">
        <f>'PRESUPUESTO GENERAL '!A43</f>
        <v>IHS 02</v>
      </c>
      <c r="B319" s="76" t="str">
        <f>'PRESUPUESTO GENERAL '!B43</f>
        <v xml:space="preserve">CANALETA DE CALAMINA </v>
      </c>
      <c r="C319" s="76"/>
      <c r="D319" s="76"/>
      <c r="E319" s="76" t="str">
        <f>'PRESUPUESTO GENERAL '!C43</f>
        <v>m</v>
      </c>
      <c r="F319" s="59"/>
      <c r="G319" s="8"/>
      <c r="H319" s="8"/>
      <c r="I319" s="8"/>
      <c r="J319" s="8"/>
      <c r="K319" s="26">
        <f>ROUND(SUM(J320),2)</f>
        <v>25.66</v>
      </c>
    </row>
    <row r="320" spans="1:11" ht="13.5" thickBot="1" x14ac:dyDescent="0.25">
      <c r="A320" s="80"/>
      <c r="B320" s="80"/>
      <c r="C320" s="80"/>
      <c r="D320" s="80" t="s">
        <v>174</v>
      </c>
      <c r="E320" s="80"/>
      <c r="F320" s="61">
        <v>2</v>
      </c>
      <c r="G320" s="9">
        <v>12.83</v>
      </c>
      <c r="H320" s="9"/>
      <c r="I320" s="9"/>
      <c r="J320" s="9">
        <f>PRODUCT(F320:I320)</f>
        <v>25.66</v>
      </c>
      <c r="K320" s="109"/>
    </row>
    <row r="321" spans="1:11" ht="13.5" thickTop="1" x14ac:dyDescent="0.2">
      <c r="A321" s="88" t="str">
        <f>'PRESUPUESTO GENERAL '!A44</f>
        <v>IHS 03</v>
      </c>
      <c r="B321" s="88" t="str">
        <f>'PRESUPUESTO GENERAL '!B44</f>
        <v>TUBO DE DESAGUE PVC 4"</v>
      </c>
      <c r="C321" s="88"/>
      <c r="D321" s="88"/>
      <c r="E321" s="88" t="str">
        <f>'PRESUPUESTO GENERAL '!C44</f>
        <v>m</v>
      </c>
      <c r="F321" s="64"/>
      <c r="G321" s="12"/>
      <c r="H321" s="12"/>
      <c r="I321" s="12"/>
      <c r="J321" s="12"/>
      <c r="K321" s="46">
        <f>ROUND(SUM(J322:J327),2)</f>
        <v>25.44</v>
      </c>
    </row>
    <row r="322" spans="1:11" x14ac:dyDescent="0.2">
      <c r="A322" s="78"/>
      <c r="B322" s="78"/>
      <c r="C322" s="78"/>
      <c r="D322" s="78" t="s">
        <v>177</v>
      </c>
      <c r="E322" s="78"/>
      <c r="F322" s="60">
        <v>1</v>
      </c>
      <c r="G322" s="2">
        <v>6.2640000000000002</v>
      </c>
      <c r="H322" s="2"/>
      <c r="I322" s="2"/>
      <c r="J322" s="2">
        <f>PRODUCT(F322:I322)</f>
        <v>6.2640000000000002</v>
      </c>
      <c r="K322" s="113"/>
    </row>
    <row r="323" spans="1:11" x14ac:dyDescent="0.2">
      <c r="A323" s="78"/>
      <c r="B323" s="78"/>
      <c r="C323" s="78"/>
      <c r="D323" s="78" t="s">
        <v>178</v>
      </c>
      <c r="E323" s="78"/>
      <c r="F323" s="60">
        <v>1</v>
      </c>
      <c r="G323" s="2">
        <v>11.516999999999999</v>
      </c>
      <c r="H323" s="2"/>
      <c r="I323" s="2"/>
      <c r="J323" s="2">
        <f t="shared" ref="J323:J335" si="44">PRODUCT(F323:I323)</f>
        <v>11.516999999999999</v>
      </c>
      <c r="K323" s="113"/>
    </row>
    <row r="324" spans="1:11" x14ac:dyDescent="0.2">
      <c r="A324" s="78"/>
      <c r="B324" s="78"/>
      <c r="C324" s="78"/>
      <c r="D324" s="78" t="s">
        <v>179</v>
      </c>
      <c r="E324" s="78"/>
      <c r="F324" s="60">
        <v>1</v>
      </c>
      <c r="G324" s="2">
        <v>5.6059999999999999</v>
      </c>
      <c r="H324" s="2"/>
      <c r="I324" s="2"/>
      <c r="J324" s="2">
        <f t="shared" si="44"/>
        <v>5.6059999999999999</v>
      </c>
      <c r="K324" s="113"/>
    </row>
    <row r="325" spans="1:11" x14ac:dyDescent="0.2">
      <c r="A325" s="78"/>
      <c r="B325" s="78"/>
      <c r="C325" s="78" t="s">
        <v>181</v>
      </c>
      <c r="D325" s="78" t="s">
        <v>180</v>
      </c>
      <c r="E325" s="78"/>
      <c r="F325" s="60">
        <v>1</v>
      </c>
      <c r="G325" s="2">
        <v>0.66</v>
      </c>
      <c r="H325" s="2"/>
      <c r="I325" s="2"/>
      <c r="J325" s="2">
        <f t="shared" si="44"/>
        <v>0.66</v>
      </c>
      <c r="K325" s="113"/>
    </row>
    <row r="326" spans="1:11" x14ac:dyDescent="0.2">
      <c r="A326" s="78"/>
      <c r="B326" s="78"/>
      <c r="C326" s="78"/>
      <c r="D326" s="78" t="s">
        <v>182</v>
      </c>
      <c r="E326" s="78"/>
      <c r="F326" s="60">
        <v>1</v>
      </c>
      <c r="G326" s="2">
        <v>0.59099999999999997</v>
      </c>
      <c r="H326" s="2"/>
      <c r="I326" s="2"/>
      <c r="J326" s="2">
        <f t="shared" si="44"/>
        <v>0.59099999999999997</v>
      </c>
      <c r="K326" s="113"/>
    </row>
    <row r="327" spans="1:11" ht="13.5" thickBot="1" x14ac:dyDescent="0.25">
      <c r="A327" s="80"/>
      <c r="B327" s="80"/>
      <c r="C327" s="80" t="s">
        <v>183</v>
      </c>
      <c r="D327" s="80" t="s">
        <v>184</v>
      </c>
      <c r="E327" s="80"/>
      <c r="F327" s="61">
        <v>1</v>
      </c>
      <c r="G327" s="9">
        <v>0.80100000000000005</v>
      </c>
      <c r="H327" s="9"/>
      <c r="I327" s="9"/>
      <c r="J327" s="9">
        <f t="shared" si="44"/>
        <v>0.80100000000000005</v>
      </c>
      <c r="K327" s="51"/>
    </row>
    <row r="328" spans="1:11" ht="13.5" thickTop="1" x14ac:dyDescent="0.2">
      <c r="A328" s="110" t="str">
        <f>'PRESUPUESTO GENERAL '!A45</f>
        <v>IHS 04</v>
      </c>
      <c r="B328" s="110" t="str">
        <f>'PRESUPUESTO GENERAL '!B45</f>
        <v>TUBO DE DESAGUE PVC 2"</v>
      </c>
      <c r="C328" s="110"/>
      <c r="D328" s="110"/>
      <c r="E328" s="110" t="str">
        <f>'PRESUPUESTO GENERAL '!C45</f>
        <v>m</v>
      </c>
      <c r="F328" s="111"/>
      <c r="G328" s="112"/>
      <c r="H328" s="112"/>
      <c r="I328" s="112"/>
      <c r="J328" s="112"/>
      <c r="K328" s="49">
        <f>ROUND(SUM(J329:J342),2)</f>
        <v>10.6</v>
      </c>
    </row>
    <row r="329" spans="1:11" x14ac:dyDescent="0.2">
      <c r="A329" s="78"/>
      <c r="B329" s="78"/>
      <c r="C329" s="78" t="s">
        <v>185</v>
      </c>
      <c r="D329" s="78" t="s">
        <v>186</v>
      </c>
      <c r="E329" s="78"/>
      <c r="F329" s="60">
        <v>1</v>
      </c>
      <c r="G329" s="2">
        <v>1.2170000000000001</v>
      </c>
      <c r="H329" s="2"/>
      <c r="I329" s="2"/>
      <c r="J329" s="2">
        <f t="shared" si="44"/>
        <v>1.2170000000000001</v>
      </c>
      <c r="K329" s="113"/>
    </row>
    <row r="330" spans="1:11" x14ac:dyDescent="0.2">
      <c r="A330" s="78"/>
      <c r="B330" s="78"/>
      <c r="C330" s="78"/>
      <c r="D330" s="78" t="s">
        <v>187</v>
      </c>
      <c r="E330" s="78"/>
      <c r="F330" s="60">
        <v>1</v>
      </c>
      <c r="G330" s="2">
        <v>0.82899999999999996</v>
      </c>
      <c r="H330" s="2"/>
      <c r="I330" s="2"/>
      <c r="J330" s="2">
        <f t="shared" si="44"/>
        <v>0.82899999999999996</v>
      </c>
      <c r="K330" s="113"/>
    </row>
    <row r="331" spans="1:11" x14ac:dyDescent="0.2">
      <c r="A331" s="78"/>
      <c r="B331" s="78"/>
      <c r="C331" s="78"/>
      <c r="D331" s="78" t="s">
        <v>188</v>
      </c>
      <c r="E331" s="78"/>
      <c r="F331" s="60">
        <v>1</v>
      </c>
      <c r="G331" s="2">
        <v>0.34899999999999998</v>
      </c>
      <c r="H331" s="2"/>
      <c r="I331" s="2"/>
      <c r="J331" s="2">
        <f t="shared" si="44"/>
        <v>0.34899999999999998</v>
      </c>
      <c r="K331" s="113"/>
    </row>
    <row r="332" spans="1:11" x14ac:dyDescent="0.2">
      <c r="A332" s="78"/>
      <c r="B332" s="78"/>
      <c r="C332" s="78"/>
      <c r="D332" s="78" t="s">
        <v>189</v>
      </c>
      <c r="E332" s="78"/>
      <c r="F332" s="60">
        <v>1</v>
      </c>
      <c r="G332" s="2">
        <v>0.47599999999999998</v>
      </c>
      <c r="H332" s="2"/>
      <c r="I332" s="2"/>
      <c r="J332" s="2">
        <f t="shared" si="44"/>
        <v>0.47599999999999998</v>
      </c>
      <c r="K332" s="113"/>
    </row>
    <row r="333" spans="1:11" x14ac:dyDescent="0.2">
      <c r="A333" s="78"/>
      <c r="B333" s="78"/>
      <c r="C333" s="78" t="s">
        <v>190</v>
      </c>
      <c r="D333" s="78" t="s">
        <v>187</v>
      </c>
      <c r="E333" s="78"/>
      <c r="F333" s="60">
        <v>1</v>
      </c>
      <c r="G333" s="2">
        <v>1.1000000000000001</v>
      </c>
      <c r="H333" s="2"/>
      <c r="I333" s="2"/>
      <c r="J333" s="2">
        <f t="shared" si="44"/>
        <v>1.1000000000000001</v>
      </c>
      <c r="K333" s="113"/>
    </row>
    <row r="334" spans="1:11" x14ac:dyDescent="0.2">
      <c r="A334" s="78"/>
      <c r="B334" s="78"/>
      <c r="C334" s="78"/>
      <c r="D334" s="78" t="s">
        <v>191</v>
      </c>
      <c r="E334" s="78"/>
      <c r="F334" s="60">
        <v>1</v>
      </c>
      <c r="G334" s="2">
        <v>0.93300000000000005</v>
      </c>
      <c r="H334" s="2"/>
      <c r="I334" s="2"/>
      <c r="J334" s="2">
        <f t="shared" si="44"/>
        <v>0.93300000000000005</v>
      </c>
      <c r="K334" s="113"/>
    </row>
    <row r="335" spans="1:11" x14ac:dyDescent="0.2">
      <c r="A335" s="78"/>
      <c r="B335" s="78"/>
      <c r="C335" s="78"/>
      <c r="D335" s="78" t="s">
        <v>192</v>
      </c>
      <c r="E335" s="78"/>
      <c r="F335" s="60">
        <v>1</v>
      </c>
      <c r="G335" s="2">
        <v>0.69899999999999995</v>
      </c>
      <c r="H335" s="2"/>
      <c r="I335" s="2"/>
      <c r="J335" s="2">
        <f t="shared" si="44"/>
        <v>0.69899999999999995</v>
      </c>
      <c r="K335" s="113"/>
    </row>
    <row r="336" spans="1:11" x14ac:dyDescent="0.2">
      <c r="A336" s="78"/>
      <c r="B336" s="78"/>
      <c r="C336" s="78" t="s">
        <v>193</v>
      </c>
      <c r="D336" s="78" t="s">
        <v>195</v>
      </c>
      <c r="E336" s="78"/>
      <c r="F336" s="60">
        <v>1</v>
      </c>
      <c r="G336" s="2">
        <v>1.1879999999999999</v>
      </c>
      <c r="H336" s="2"/>
      <c r="I336" s="2"/>
      <c r="J336" s="2">
        <f t="shared" ref="J336:J342" si="45">PRODUCT(F336:I336)</f>
        <v>1.1879999999999999</v>
      </c>
      <c r="K336" s="113"/>
    </row>
    <row r="337" spans="1:11" x14ac:dyDescent="0.2">
      <c r="A337" s="78"/>
      <c r="B337" s="78"/>
      <c r="C337" s="78"/>
      <c r="D337" s="78" t="s">
        <v>187</v>
      </c>
      <c r="E337" s="78"/>
      <c r="F337" s="60">
        <v>1</v>
      </c>
      <c r="G337" s="2">
        <v>0.82899999999999996</v>
      </c>
      <c r="H337" s="2"/>
      <c r="I337" s="2"/>
      <c r="J337" s="2">
        <f t="shared" si="45"/>
        <v>0.82899999999999996</v>
      </c>
      <c r="K337" s="113"/>
    </row>
    <row r="338" spans="1:11" x14ac:dyDescent="0.2">
      <c r="A338" s="78"/>
      <c r="B338" s="78"/>
      <c r="C338" s="78"/>
      <c r="D338" s="78" t="s">
        <v>188</v>
      </c>
      <c r="E338" s="78"/>
      <c r="F338" s="60">
        <v>1</v>
      </c>
      <c r="G338" s="2">
        <v>0.34899999999999998</v>
      </c>
      <c r="H338" s="2"/>
      <c r="I338" s="2"/>
      <c r="J338" s="2">
        <f t="shared" si="45"/>
        <v>0.34899999999999998</v>
      </c>
      <c r="K338" s="113"/>
    </row>
    <row r="339" spans="1:11" x14ac:dyDescent="0.2">
      <c r="A339" s="78"/>
      <c r="B339" s="78"/>
      <c r="C339" s="78"/>
      <c r="D339" s="78" t="s">
        <v>189</v>
      </c>
      <c r="E339" s="78"/>
      <c r="F339" s="60">
        <v>1</v>
      </c>
      <c r="G339" s="2">
        <v>0.52100000000000002</v>
      </c>
      <c r="H339" s="2"/>
      <c r="I339" s="2"/>
      <c r="J339" s="2">
        <f t="shared" si="45"/>
        <v>0.52100000000000002</v>
      </c>
      <c r="K339" s="113"/>
    </row>
    <row r="340" spans="1:11" x14ac:dyDescent="0.2">
      <c r="A340" s="78"/>
      <c r="B340" s="78"/>
      <c r="C340" s="78" t="s">
        <v>194</v>
      </c>
      <c r="D340" s="78" t="s">
        <v>187</v>
      </c>
      <c r="E340" s="78"/>
      <c r="F340" s="60">
        <v>1</v>
      </c>
      <c r="G340" s="2">
        <v>0.93300000000000005</v>
      </c>
      <c r="H340" s="2"/>
      <c r="I340" s="2"/>
      <c r="J340" s="2">
        <f t="shared" si="45"/>
        <v>0.93300000000000005</v>
      </c>
      <c r="K340" s="113"/>
    </row>
    <row r="341" spans="1:11" x14ac:dyDescent="0.2">
      <c r="A341" s="78"/>
      <c r="B341" s="78"/>
      <c r="C341" s="78"/>
      <c r="D341" s="78" t="s">
        <v>191</v>
      </c>
      <c r="E341" s="78"/>
      <c r="F341" s="60">
        <v>1</v>
      </c>
      <c r="G341" s="2">
        <v>0.69899999999999995</v>
      </c>
      <c r="H341" s="2"/>
      <c r="I341" s="2"/>
      <c r="J341" s="2">
        <f t="shared" si="45"/>
        <v>0.69899999999999995</v>
      </c>
      <c r="K341" s="113"/>
    </row>
    <row r="342" spans="1:11" x14ac:dyDescent="0.2">
      <c r="A342" s="78"/>
      <c r="B342" s="78"/>
      <c r="C342" s="78"/>
      <c r="D342" s="78" t="s">
        <v>196</v>
      </c>
      <c r="E342" s="78"/>
      <c r="F342" s="60">
        <v>1</v>
      </c>
      <c r="G342" s="2">
        <v>0.47499999999999998</v>
      </c>
      <c r="H342" s="2"/>
      <c r="I342" s="2"/>
      <c r="J342" s="2">
        <f t="shared" si="45"/>
        <v>0.47499999999999998</v>
      </c>
      <c r="K342" s="113"/>
    </row>
    <row r="343" spans="1:11" x14ac:dyDescent="0.2">
      <c r="A343" s="99" t="str">
        <f>'PRESUPUESTO GENERAL '!A46</f>
        <v>IHS 06</v>
      </c>
      <c r="B343" s="99" t="str">
        <f>'PRESUPUESTO GENERAL '!B46</f>
        <v>CAMARA DE INSPECCION 60 x 60</v>
      </c>
      <c r="C343" s="99"/>
      <c r="D343" s="99"/>
      <c r="E343" s="99" t="str">
        <f>'PRESUPUESTO GENERAL '!C46</f>
        <v>pza</v>
      </c>
      <c r="F343" s="100"/>
      <c r="G343" s="101"/>
      <c r="H343" s="101"/>
      <c r="I343" s="101"/>
      <c r="J343" s="101"/>
      <c r="K343" s="53">
        <f>ROUND(SUM(J344),2)</f>
        <v>3</v>
      </c>
    </row>
    <row r="344" spans="1:11" ht="13.5" thickBot="1" x14ac:dyDescent="0.25">
      <c r="A344" s="80"/>
      <c r="B344" s="80"/>
      <c r="C344" s="80" t="s">
        <v>176</v>
      </c>
      <c r="D344" s="80"/>
      <c r="E344" s="80"/>
      <c r="F344" s="61">
        <v>3</v>
      </c>
      <c r="G344" s="9">
        <v>1</v>
      </c>
      <c r="H344" s="9"/>
      <c r="I344" s="9"/>
      <c r="J344" s="114">
        <f>PRODUCT(F344:I344)</f>
        <v>3</v>
      </c>
      <c r="K344" s="51"/>
    </row>
    <row r="345" spans="1:11" ht="13.5" thickTop="1" x14ac:dyDescent="0.2">
      <c r="A345" s="82" t="str">
        <f>'PRESUPUESTO GENERAL '!A47</f>
        <v>IHS 07</v>
      </c>
      <c r="B345" s="82" t="str">
        <f>'PRESUPUESTO GENERAL '!B47</f>
        <v>CAMARA DE REGISTRO 40 x 40</v>
      </c>
      <c r="C345" s="82"/>
      <c r="D345" s="82"/>
      <c r="E345" s="82" t="str">
        <f>'PRESUPUESTO GENERAL '!C47</f>
        <v>pza</v>
      </c>
      <c r="F345" s="62"/>
      <c r="G345" s="10"/>
      <c r="H345" s="10"/>
      <c r="I345" s="10"/>
      <c r="J345" s="10"/>
      <c r="K345" s="46">
        <f>ROUND(SUM(J346),2)</f>
        <v>1</v>
      </c>
    </row>
    <row r="346" spans="1:11" ht="13.5" thickBot="1" x14ac:dyDescent="0.25">
      <c r="A346" s="80"/>
      <c r="B346" s="80"/>
      <c r="C346" s="80" t="s">
        <v>175</v>
      </c>
      <c r="D346" s="80"/>
      <c r="E346" s="80"/>
      <c r="F346" s="61">
        <v>1</v>
      </c>
      <c r="G346" s="9">
        <v>1</v>
      </c>
      <c r="H346" s="9"/>
      <c r="I346" s="9"/>
      <c r="J346" s="114">
        <f>PRODUCT(F346:I346)</f>
        <v>1</v>
      </c>
      <c r="K346" s="51"/>
    </row>
    <row r="347" spans="1:11" ht="13.5" thickTop="1" x14ac:dyDescent="0.2">
      <c r="A347" s="76" t="str">
        <f>'PRESUPUESTO GENERAL '!A48</f>
        <v>IHS 08</v>
      </c>
      <c r="B347" s="76" t="str">
        <f>'PRESUPUESTO GENERAL '!B48</f>
        <v>CAÑERIA GALVANIZADA 1/2"</v>
      </c>
      <c r="C347" s="76"/>
      <c r="D347" s="76"/>
      <c r="E347" s="76" t="str">
        <f>'PRESUPUESTO GENERAL '!C48</f>
        <v>m</v>
      </c>
      <c r="F347" s="59"/>
      <c r="G347" s="8"/>
      <c r="H347" s="112"/>
      <c r="I347" s="112"/>
      <c r="J347" s="112"/>
      <c r="K347" s="49">
        <f>ROUND(SUM(J348:J351),2)</f>
        <v>51.11</v>
      </c>
    </row>
    <row r="348" spans="1:11" x14ac:dyDescent="0.2">
      <c r="A348" s="84"/>
      <c r="B348" s="84"/>
      <c r="C348" s="84" t="s">
        <v>141</v>
      </c>
      <c r="D348" s="84" t="s">
        <v>199</v>
      </c>
      <c r="E348" s="84"/>
      <c r="F348" s="63">
        <v>1</v>
      </c>
      <c r="G348" s="3">
        <v>22.864999999999998</v>
      </c>
      <c r="H348" s="2"/>
      <c r="I348" s="2"/>
      <c r="J348" s="2">
        <f t="shared" ref="J348:J351" si="46">PRODUCT(F348:I348)</f>
        <v>22.864999999999998</v>
      </c>
      <c r="K348" s="113"/>
    </row>
    <row r="349" spans="1:11" x14ac:dyDescent="0.2">
      <c r="A349" s="84"/>
      <c r="B349" s="84"/>
      <c r="C349" s="84"/>
      <c r="D349" s="84"/>
      <c r="E349" s="84"/>
      <c r="F349" s="63"/>
      <c r="G349" s="3">
        <v>2.78</v>
      </c>
      <c r="H349" s="2"/>
      <c r="I349" s="2"/>
      <c r="J349" s="2">
        <f t="shared" si="46"/>
        <v>2.78</v>
      </c>
      <c r="K349" s="113"/>
    </row>
    <row r="350" spans="1:11" x14ac:dyDescent="0.2">
      <c r="A350" s="84"/>
      <c r="B350" s="84"/>
      <c r="C350" s="84" t="s">
        <v>140</v>
      </c>
      <c r="D350" s="84" t="s">
        <v>199</v>
      </c>
      <c r="E350" s="84"/>
      <c r="F350" s="63">
        <v>1</v>
      </c>
      <c r="G350" s="3">
        <v>22.864999999999998</v>
      </c>
      <c r="H350" s="2"/>
      <c r="I350" s="2"/>
      <c r="J350" s="2">
        <f t="shared" si="46"/>
        <v>22.864999999999998</v>
      </c>
      <c r="K350" s="113"/>
    </row>
    <row r="351" spans="1:11" x14ac:dyDescent="0.2">
      <c r="A351" s="84"/>
      <c r="B351" s="84"/>
      <c r="C351" s="84"/>
      <c r="D351" s="84"/>
      <c r="E351" s="84"/>
      <c r="F351" s="63">
        <v>1</v>
      </c>
      <c r="G351" s="3">
        <v>2.6</v>
      </c>
      <c r="H351" s="2"/>
      <c r="I351" s="2"/>
      <c r="J351" s="2">
        <f t="shared" si="46"/>
        <v>2.6</v>
      </c>
      <c r="K351" s="113"/>
    </row>
    <row r="352" spans="1:11" x14ac:dyDescent="0.2">
      <c r="A352" s="99" t="str">
        <f>'PRESUPUESTO GENERAL '!A49</f>
        <v>IHS 09</v>
      </c>
      <c r="B352" s="99" t="str">
        <f>'PRESUPUESTO GENERAL '!B49</f>
        <v>LLAVE DE PASO 1/2"</v>
      </c>
      <c r="C352" s="99"/>
      <c r="D352" s="99"/>
      <c r="E352" s="99" t="str">
        <f>'PRESUPUESTO GENERAL '!C49</f>
        <v>pza</v>
      </c>
      <c r="F352" s="100"/>
      <c r="G352" s="101"/>
      <c r="H352" s="101"/>
      <c r="I352" s="101"/>
      <c r="J352" s="101"/>
      <c r="K352" s="53">
        <f>ROUND(SUM(J353:J356),2)</f>
        <v>4</v>
      </c>
    </row>
    <row r="353" spans="1:11" x14ac:dyDescent="0.2">
      <c r="A353" s="78"/>
      <c r="B353" s="78"/>
      <c r="C353" s="78" t="s">
        <v>197</v>
      </c>
      <c r="D353" s="78" t="s">
        <v>166</v>
      </c>
      <c r="E353" s="78"/>
      <c r="F353" s="60">
        <v>1</v>
      </c>
      <c r="G353" s="2">
        <v>1</v>
      </c>
      <c r="H353" s="2"/>
      <c r="I353" s="2"/>
      <c r="J353" s="2">
        <f t="shared" ref="J353:J354" si="47">PRODUCT(F353:I353)</f>
        <v>1</v>
      </c>
      <c r="K353" s="113"/>
    </row>
    <row r="354" spans="1:11" x14ac:dyDescent="0.2">
      <c r="A354" s="78"/>
      <c r="B354" s="78"/>
      <c r="C354" s="78"/>
      <c r="D354" s="78" t="s">
        <v>156</v>
      </c>
      <c r="E354" s="78"/>
      <c r="F354" s="60">
        <v>1</v>
      </c>
      <c r="G354" s="2">
        <v>1</v>
      </c>
      <c r="H354" s="2"/>
      <c r="I354" s="2"/>
      <c r="J354" s="2">
        <f t="shared" si="47"/>
        <v>1</v>
      </c>
      <c r="K354" s="113"/>
    </row>
    <row r="355" spans="1:11" x14ac:dyDescent="0.2">
      <c r="A355" s="78"/>
      <c r="B355" s="78"/>
      <c r="C355" s="78" t="s">
        <v>198</v>
      </c>
      <c r="D355" s="78" t="s">
        <v>166</v>
      </c>
      <c r="E355" s="78"/>
      <c r="F355" s="60">
        <v>1</v>
      </c>
      <c r="G355" s="2">
        <v>1</v>
      </c>
      <c r="H355" s="2"/>
      <c r="I355" s="2"/>
      <c r="J355" s="2">
        <f t="shared" ref="J355:J356" si="48">PRODUCT(F355:I355)</f>
        <v>1</v>
      </c>
      <c r="K355" s="113"/>
    </row>
    <row r="356" spans="1:11" x14ac:dyDescent="0.2">
      <c r="A356" s="78"/>
      <c r="B356" s="78"/>
      <c r="C356" s="78"/>
      <c r="D356" s="78" t="s">
        <v>156</v>
      </c>
      <c r="E356" s="78"/>
      <c r="F356" s="60">
        <v>1</v>
      </c>
      <c r="G356" s="2">
        <v>1</v>
      </c>
      <c r="H356" s="2"/>
      <c r="I356" s="2"/>
      <c r="J356" s="2">
        <f t="shared" si="48"/>
        <v>1</v>
      </c>
      <c r="K356" s="113"/>
    </row>
    <row r="357" spans="1:11" x14ac:dyDescent="0.2">
      <c r="A357" s="99" t="str">
        <f>'PRESUPUESTO GENERAL '!A50</f>
        <v>IHS 10</v>
      </c>
      <c r="B357" s="99" t="str">
        <f>'PRESUPUESTO GENERAL '!B50</f>
        <v xml:space="preserve">INSTALACION DE INODORO TANQUE BAJO </v>
      </c>
      <c r="C357" s="99"/>
      <c r="D357" s="99"/>
      <c r="E357" s="99" t="str">
        <f>'PRESUPUESTO GENERAL '!C50</f>
        <v>pza</v>
      </c>
      <c r="F357" s="100"/>
      <c r="G357" s="101"/>
      <c r="H357" s="101"/>
      <c r="I357" s="101"/>
      <c r="J357" s="101"/>
      <c r="K357" s="53">
        <f>ROUND(SUM(J358:J359),2)</f>
        <v>2</v>
      </c>
    </row>
    <row r="358" spans="1:11" x14ac:dyDescent="0.2">
      <c r="A358" s="78"/>
      <c r="B358" s="78"/>
      <c r="C358" s="78" t="s">
        <v>141</v>
      </c>
      <c r="D358" s="78" t="s">
        <v>156</v>
      </c>
      <c r="E358" s="78"/>
      <c r="F358" s="60">
        <v>1</v>
      </c>
      <c r="G358" s="2"/>
      <c r="H358" s="2"/>
      <c r="I358" s="2"/>
      <c r="J358" s="2">
        <f>PRODUCT(F358:I358)</f>
        <v>1</v>
      </c>
      <c r="K358" s="2"/>
    </row>
    <row r="359" spans="1:11" ht="13.5" thickBot="1" x14ac:dyDescent="0.25">
      <c r="A359" s="80"/>
      <c r="B359" s="80"/>
      <c r="C359" s="80" t="s">
        <v>159</v>
      </c>
      <c r="D359" s="80" t="s">
        <v>156</v>
      </c>
      <c r="E359" s="80"/>
      <c r="F359" s="61">
        <v>1</v>
      </c>
      <c r="G359" s="9"/>
      <c r="H359" s="9"/>
      <c r="I359" s="9"/>
      <c r="J359" s="9">
        <f>PRODUCT(F359:I359)</f>
        <v>1</v>
      </c>
      <c r="K359" s="9"/>
    </row>
    <row r="360" spans="1:11" ht="13.5" thickTop="1" x14ac:dyDescent="0.2">
      <c r="A360" s="76" t="str">
        <f>'PRESUPUESTO GENERAL '!A51</f>
        <v>IHS 11</v>
      </c>
      <c r="B360" s="76" t="str">
        <f>'PRESUPUESTO GENERAL '!B51</f>
        <v xml:space="preserve">INSTALACION DE DUCHA </v>
      </c>
      <c r="C360" s="76"/>
      <c r="D360" s="76"/>
      <c r="E360" s="76" t="str">
        <f>'PRESUPUESTO GENERAL '!C51</f>
        <v>pza</v>
      </c>
      <c r="F360" s="59"/>
      <c r="G360" s="8"/>
      <c r="H360" s="8"/>
      <c r="I360" s="8"/>
      <c r="J360" s="8"/>
      <c r="K360" s="49">
        <f>ROUND(SUM(J361:J362),2)</f>
        <v>2</v>
      </c>
    </row>
    <row r="361" spans="1:11" x14ac:dyDescent="0.2">
      <c r="A361" s="78"/>
      <c r="B361" s="78"/>
      <c r="C361" s="78" t="s">
        <v>141</v>
      </c>
      <c r="D361" s="78" t="s">
        <v>156</v>
      </c>
      <c r="E361" s="78"/>
      <c r="F361" s="60">
        <v>1</v>
      </c>
      <c r="G361" s="2"/>
      <c r="H361" s="2"/>
      <c r="I361" s="2"/>
      <c r="J361" s="2">
        <f>PRODUCT(F361:I361)</f>
        <v>1</v>
      </c>
      <c r="K361" s="2"/>
    </row>
    <row r="362" spans="1:11" ht="13.5" thickBot="1" x14ac:dyDescent="0.25">
      <c r="A362" s="80"/>
      <c r="B362" s="80"/>
      <c r="C362" s="80" t="s">
        <v>159</v>
      </c>
      <c r="D362" s="80" t="s">
        <v>156</v>
      </c>
      <c r="E362" s="80"/>
      <c r="F362" s="61">
        <v>1</v>
      </c>
      <c r="G362" s="9"/>
      <c r="H362" s="9"/>
      <c r="I362" s="9"/>
      <c r="J362" s="9">
        <f>PRODUCT(F362:I362)</f>
        <v>1</v>
      </c>
      <c r="K362" s="9"/>
    </row>
    <row r="363" spans="1:11" ht="13.5" thickTop="1" x14ac:dyDescent="0.2">
      <c r="A363" s="82" t="str">
        <f>'PRESUPUESTO GENERAL '!A52</f>
        <v>IHS 12</v>
      </c>
      <c r="B363" s="82" t="str">
        <f>'PRESUPUESTO GENERAL '!B52</f>
        <v xml:space="preserve">INSTALACION LAVAPLATOS </v>
      </c>
      <c r="C363" s="82"/>
      <c r="D363" s="82"/>
      <c r="E363" s="82" t="str">
        <f>'PRESUPUESTO GENERAL '!C52</f>
        <v>pza</v>
      </c>
      <c r="F363" s="62"/>
      <c r="G363" s="10"/>
      <c r="H363" s="10"/>
      <c r="I363" s="10"/>
      <c r="J363" s="10"/>
      <c r="K363" s="46">
        <f>ROUND(SUM(J364:J365),2)</f>
        <v>2</v>
      </c>
    </row>
    <row r="364" spans="1:11" x14ac:dyDescent="0.2">
      <c r="A364" s="84"/>
      <c r="B364" s="84"/>
      <c r="C364" s="78" t="s">
        <v>141</v>
      </c>
      <c r="D364" s="78" t="s">
        <v>166</v>
      </c>
      <c r="E364" s="78"/>
      <c r="F364" s="60">
        <v>1</v>
      </c>
      <c r="G364" s="2"/>
      <c r="H364" s="2"/>
      <c r="I364" s="2"/>
      <c r="J364" s="2">
        <f>PRODUCT(F364:I364)</f>
        <v>1</v>
      </c>
      <c r="K364" s="2"/>
    </row>
    <row r="365" spans="1:11" ht="13.5" thickBot="1" x14ac:dyDescent="0.25">
      <c r="A365" s="102"/>
      <c r="B365" s="102"/>
      <c r="C365" s="80" t="s">
        <v>159</v>
      </c>
      <c r="D365" s="80" t="s">
        <v>166</v>
      </c>
      <c r="E365" s="80"/>
      <c r="F365" s="61">
        <v>1</v>
      </c>
      <c r="G365" s="9"/>
      <c r="H365" s="9"/>
      <c r="I365" s="9"/>
      <c r="J365" s="9">
        <f>PRODUCT(F365:I365)</f>
        <v>1</v>
      </c>
      <c r="K365" s="9"/>
    </row>
    <row r="366" spans="1:11" ht="13.5" thickTop="1" x14ac:dyDescent="0.2">
      <c r="A366" s="82" t="str">
        <f>'PRESUPUESTO GENERAL '!A53</f>
        <v>IHS 13</v>
      </c>
      <c r="B366" s="82" t="str">
        <f>'PRESUPUESTO GENERAL '!B53</f>
        <v xml:space="preserve">INSTALACION LAVAMANOS </v>
      </c>
      <c r="C366" s="82"/>
      <c r="D366" s="82"/>
      <c r="E366" s="82" t="str">
        <f>'PRESUPUESTO GENERAL '!C53</f>
        <v>pza</v>
      </c>
      <c r="F366" s="62"/>
      <c r="G366" s="10"/>
      <c r="H366" s="10"/>
      <c r="I366" s="10"/>
      <c r="J366" s="10"/>
      <c r="K366" s="46">
        <f>ROUND(SUM(J367:J368),2)</f>
        <v>2</v>
      </c>
    </row>
    <row r="367" spans="1:11" x14ac:dyDescent="0.2">
      <c r="A367" s="84"/>
      <c r="B367" s="84"/>
      <c r="C367" s="78" t="s">
        <v>141</v>
      </c>
      <c r="D367" s="78" t="s">
        <v>156</v>
      </c>
      <c r="E367" s="78"/>
      <c r="F367" s="60">
        <v>1</v>
      </c>
      <c r="G367" s="2"/>
      <c r="H367" s="2"/>
      <c r="I367" s="2"/>
      <c r="J367" s="2">
        <f>PRODUCT(F367:I367)</f>
        <v>1</v>
      </c>
      <c r="K367" s="2"/>
    </row>
    <row r="368" spans="1:11" ht="13.5" thickBot="1" x14ac:dyDescent="0.25">
      <c r="A368" s="102"/>
      <c r="B368" s="102"/>
      <c r="C368" s="80" t="s">
        <v>159</v>
      </c>
      <c r="D368" s="80" t="s">
        <v>156</v>
      </c>
      <c r="E368" s="80"/>
      <c r="F368" s="61">
        <v>1</v>
      </c>
      <c r="G368" s="9"/>
      <c r="H368" s="9"/>
      <c r="I368" s="9"/>
      <c r="J368" s="9">
        <f>PRODUCT(F368:I368)</f>
        <v>1</v>
      </c>
      <c r="K368" s="9"/>
    </row>
    <row r="369" spans="1:11" ht="14.25" thickTop="1" thickBot="1" x14ac:dyDescent="0.25">
      <c r="A369" s="103" t="str">
        <f>'PRESUPUESTO GENERAL '!A54</f>
        <v>MODULO V: OBRA INSTALACIONES ELECTRICAS</v>
      </c>
      <c r="B369" s="103"/>
      <c r="C369" s="103"/>
      <c r="D369" s="103"/>
      <c r="E369" s="103"/>
      <c r="F369" s="104"/>
      <c r="G369" s="105"/>
      <c r="H369" s="105"/>
      <c r="I369" s="105"/>
      <c r="J369" s="105"/>
      <c r="K369" s="105"/>
    </row>
    <row r="370" spans="1:11" ht="13.5" thickBot="1" x14ac:dyDescent="0.25">
      <c r="A370" s="99" t="str">
        <f>'PRESUPUESTO GENERAL '!A55</f>
        <v>IE 1</v>
      </c>
      <c r="B370" s="99" t="str">
        <f>'PRESUPUESTO GENERAL '!B55</f>
        <v xml:space="preserve">ILUMINACION INCANDESCENTE </v>
      </c>
      <c r="C370" s="99"/>
      <c r="D370" s="99"/>
      <c r="E370" s="99" t="str">
        <f>'PRESUPUESTO GENERAL '!C55</f>
        <v>pto</v>
      </c>
      <c r="F370" s="100"/>
      <c r="G370" s="101"/>
      <c r="H370" s="101"/>
      <c r="I370" s="101"/>
      <c r="J370" s="106"/>
      <c r="K370" s="32">
        <f>ROUND(SUM(J371:J374),2)</f>
        <v>6</v>
      </c>
    </row>
    <row r="371" spans="1:11" x14ac:dyDescent="0.2">
      <c r="A371" s="78"/>
      <c r="B371" s="78"/>
      <c r="C371" s="78" t="s">
        <v>141</v>
      </c>
      <c r="D371" s="78" t="s">
        <v>156</v>
      </c>
      <c r="E371" s="78"/>
      <c r="F371" s="60">
        <v>1</v>
      </c>
      <c r="G371" s="2"/>
      <c r="H371" s="2"/>
      <c r="I371" s="2"/>
      <c r="J371" s="2">
        <f>PRODUCT(F371:I371)</f>
        <v>1</v>
      </c>
      <c r="K371" s="3"/>
    </row>
    <row r="372" spans="1:11" x14ac:dyDescent="0.2">
      <c r="A372" s="78"/>
      <c r="B372" s="78"/>
      <c r="C372" s="78"/>
      <c r="D372" s="78" t="s">
        <v>166</v>
      </c>
      <c r="E372" s="78"/>
      <c r="F372" s="60">
        <v>2</v>
      </c>
      <c r="G372" s="2"/>
      <c r="H372" s="2"/>
      <c r="I372" s="2"/>
      <c r="J372" s="2">
        <f>PRODUCT(F372:I372)</f>
        <v>2</v>
      </c>
      <c r="K372" s="2"/>
    </row>
    <row r="373" spans="1:11" x14ac:dyDescent="0.2">
      <c r="A373" s="78"/>
      <c r="B373" s="78"/>
      <c r="C373" s="78" t="s">
        <v>159</v>
      </c>
      <c r="D373" s="78" t="s">
        <v>156</v>
      </c>
      <c r="E373" s="78"/>
      <c r="F373" s="60">
        <v>1</v>
      </c>
      <c r="G373" s="2"/>
      <c r="H373" s="2"/>
      <c r="I373" s="2"/>
      <c r="J373" s="2">
        <f>PRODUCT(F373:I373)</f>
        <v>1</v>
      </c>
      <c r="K373" s="2"/>
    </row>
    <row r="374" spans="1:11" ht="13.5" thickBot="1" x14ac:dyDescent="0.25">
      <c r="A374" s="80"/>
      <c r="B374" s="80"/>
      <c r="C374" s="80"/>
      <c r="D374" s="80" t="s">
        <v>166</v>
      </c>
      <c r="E374" s="80"/>
      <c r="F374" s="61">
        <v>2</v>
      </c>
      <c r="G374" s="9"/>
      <c r="H374" s="9"/>
      <c r="I374" s="9"/>
      <c r="J374" s="9">
        <f>PRODUCT(F374:I374)</f>
        <v>2</v>
      </c>
      <c r="K374" s="9"/>
    </row>
    <row r="375" spans="1:11" ht="14.25" thickTop="1" thickBot="1" x14ac:dyDescent="0.25">
      <c r="A375" s="82" t="str">
        <f>'PRESUPUESTO GENERAL '!A56</f>
        <v>IE 2</v>
      </c>
      <c r="B375" s="82" t="str">
        <f>'PRESUPUESTO GENERAL '!B56</f>
        <v xml:space="preserve">ILUMINACION FLUORESCENTE </v>
      </c>
      <c r="C375" s="82"/>
      <c r="D375" s="82"/>
      <c r="E375" s="82" t="str">
        <f>'PRESUPUESTO GENERAL '!C56</f>
        <v>pto</v>
      </c>
      <c r="F375" s="62"/>
      <c r="G375" s="10"/>
      <c r="H375" s="10"/>
      <c r="I375" s="10"/>
      <c r="J375" s="10"/>
      <c r="K375" s="38">
        <f>ROUND(SUM(J376:J389),2)</f>
        <v>28</v>
      </c>
    </row>
    <row r="376" spans="1:11" x14ac:dyDescent="0.2">
      <c r="A376" s="78"/>
      <c r="B376" s="78"/>
      <c r="C376" s="78" t="s">
        <v>141</v>
      </c>
      <c r="D376" s="78" t="s">
        <v>167</v>
      </c>
      <c r="E376" s="78"/>
      <c r="F376" s="60">
        <v>1</v>
      </c>
      <c r="G376" s="2"/>
      <c r="H376" s="2"/>
      <c r="I376" s="2"/>
      <c r="J376" s="2">
        <f>PRODUCT(F376:I376)</f>
        <v>1</v>
      </c>
      <c r="K376" s="2"/>
    </row>
    <row r="377" spans="1:11" x14ac:dyDescent="0.2">
      <c r="A377" s="78"/>
      <c r="B377" s="78"/>
      <c r="C377" s="78"/>
      <c r="D377" s="78" t="s">
        <v>168</v>
      </c>
      <c r="E377" s="78"/>
      <c r="F377" s="60">
        <v>1</v>
      </c>
      <c r="G377" s="2"/>
      <c r="H377" s="2"/>
      <c r="I377" s="2"/>
      <c r="J377" s="2">
        <f t="shared" ref="J377:J382" si="49">PRODUCT(F377:I377)</f>
        <v>1</v>
      </c>
      <c r="K377" s="2"/>
    </row>
    <row r="378" spans="1:11" x14ac:dyDescent="0.2">
      <c r="A378" s="78"/>
      <c r="B378" s="78"/>
      <c r="C378" s="78"/>
      <c r="D378" s="78" t="s">
        <v>153</v>
      </c>
      <c r="E378" s="78"/>
      <c r="F378" s="60">
        <v>1</v>
      </c>
      <c r="G378" s="2"/>
      <c r="H378" s="2"/>
      <c r="I378" s="2"/>
      <c r="J378" s="2">
        <f t="shared" si="49"/>
        <v>1</v>
      </c>
      <c r="K378" s="2"/>
    </row>
    <row r="379" spans="1:11" x14ac:dyDescent="0.2">
      <c r="A379" s="78"/>
      <c r="B379" s="78"/>
      <c r="C379" s="78"/>
      <c r="D379" s="78" t="s">
        <v>169</v>
      </c>
      <c r="E379" s="78"/>
      <c r="F379" s="60">
        <v>3</v>
      </c>
      <c r="G379" s="2"/>
      <c r="H379" s="2"/>
      <c r="I379" s="2"/>
      <c r="J379" s="2">
        <f t="shared" si="49"/>
        <v>3</v>
      </c>
      <c r="K379" s="2"/>
    </row>
    <row r="380" spans="1:11" x14ac:dyDescent="0.2">
      <c r="A380" s="78"/>
      <c r="B380" s="78"/>
      <c r="C380" s="78"/>
      <c r="D380" s="78" t="s">
        <v>170</v>
      </c>
      <c r="E380" s="78"/>
      <c r="F380" s="60">
        <v>3</v>
      </c>
      <c r="G380" s="2"/>
      <c r="H380" s="2"/>
      <c r="I380" s="2"/>
      <c r="J380" s="2">
        <f t="shared" si="49"/>
        <v>3</v>
      </c>
      <c r="K380" s="2"/>
    </row>
    <row r="381" spans="1:11" x14ac:dyDescent="0.2">
      <c r="A381" s="78"/>
      <c r="B381" s="78"/>
      <c r="C381" s="78"/>
      <c r="D381" s="78" t="s">
        <v>171</v>
      </c>
      <c r="E381" s="78"/>
      <c r="F381" s="60">
        <v>3</v>
      </c>
      <c r="G381" s="2"/>
      <c r="H381" s="2"/>
      <c r="I381" s="2"/>
      <c r="J381" s="2">
        <f t="shared" si="49"/>
        <v>3</v>
      </c>
      <c r="K381" s="2"/>
    </row>
    <row r="382" spans="1:11" x14ac:dyDescent="0.2">
      <c r="A382" s="78"/>
      <c r="B382" s="78"/>
      <c r="C382" s="78"/>
      <c r="D382" s="78" t="s">
        <v>172</v>
      </c>
      <c r="E382" s="78"/>
      <c r="F382" s="60">
        <v>2</v>
      </c>
      <c r="G382" s="2"/>
      <c r="H382" s="2"/>
      <c r="I382" s="2"/>
      <c r="J382" s="2">
        <f t="shared" si="49"/>
        <v>2</v>
      </c>
      <c r="K382" s="2"/>
    </row>
    <row r="383" spans="1:11" x14ac:dyDescent="0.2">
      <c r="A383" s="78"/>
      <c r="B383" s="78"/>
      <c r="C383" s="78" t="s">
        <v>159</v>
      </c>
      <c r="D383" s="78" t="s">
        <v>167</v>
      </c>
      <c r="E383" s="78"/>
      <c r="F383" s="60">
        <v>1</v>
      </c>
      <c r="G383" s="2"/>
      <c r="H383" s="2"/>
      <c r="I383" s="2"/>
      <c r="J383" s="2">
        <f>PRODUCT(F383:I383)</f>
        <v>1</v>
      </c>
      <c r="K383" s="2"/>
    </row>
    <row r="384" spans="1:11" x14ac:dyDescent="0.2">
      <c r="A384" s="78"/>
      <c r="B384" s="78"/>
      <c r="C384" s="78"/>
      <c r="D384" s="78" t="s">
        <v>168</v>
      </c>
      <c r="E384" s="78"/>
      <c r="F384" s="60">
        <v>1</v>
      </c>
      <c r="G384" s="2"/>
      <c r="H384" s="2"/>
      <c r="I384" s="2"/>
      <c r="J384" s="2">
        <f t="shared" ref="J384:J389" si="50">PRODUCT(F384:I384)</f>
        <v>1</v>
      </c>
      <c r="K384" s="2"/>
    </row>
    <row r="385" spans="1:11" x14ac:dyDescent="0.2">
      <c r="A385" s="78"/>
      <c r="B385" s="78"/>
      <c r="C385" s="78"/>
      <c r="D385" s="78" t="s">
        <v>153</v>
      </c>
      <c r="E385" s="78"/>
      <c r="F385" s="60">
        <v>1</v>
      </c>
      <c r="G385" s="2"/>
      <c r="H385" s="2"/>
      <c r="I385" s="2"/>
      <c r="J385" s="2">
        <f t="shared" si="50"/>
        <v>1</v>
      </c>
      <c r="K385" s="2"/>
    </row>
    <row r="386" spans="1:11" x14ac:dyDescent="0.2">
      <c r="A386" s="78"/>
      <c r="B386" s="78"/>
      <c r="C386" s="78"/>
      <c r="D386" s="78" t="s">
        <v>169</v>
      </c>
      <c r="E386" s="78"/>
      <c r="F386" s="60">
        <v>3</v>
      </c>
      <c r="G386" s="2"/>
      <c r="H386" s="2"/>
      <c r="I386" s="2"/>
      <c r="J386" s="2">
        <f t="shared" si="50"/>
        <v>3</v>
      </c>
      <c r="K386" s="2"/>
    </row>
    <row r="387" spans="1:11" x14ac:dyDescent="0.2">
      <c r="A387" s="78"/>
      <c r="B387" s="78"/>
      <c r="C387" s="78"/>
      <c r="D387" s="78" t="s">
        <v>170</v>
      </c>
      <c r="E387" s="78"/>
      <c r="F387" s="60">
        <v>3</v>
      </c>
      <c r="G387" s="2"/>
      <c r="H387" s="2"/>
      <c r="I387" s="2"/>
      <c r="J387" s="2">
        <f t="shared" si="50"/>
        <v>3</v>
      </c>
      <c r="K387" s="2"/>
    </row>
    <row r="388" spans="1:11" x14ac:dyDescent="0.2">
      <c r="A388" s="78"/>
      <c r="B388" s="78"/>
      <c r="C388" s="78"/>
      <c r="D388" s="78" t="s">
        <v>171</v>
      </c>
      <c r="E388" s="78"/>
      <c r="F388" s="60">
        <v>3</v>
      </c>
      <c r="G388" s="2"/>
      <c r="H388" s="2"/>
      <c r="I388" s="2"/>
      <c r="J388" s="2">
        <f t="shared" si="50"/>
        <v>3</v>
      </c>
      <c r="K388" s="2"/>
    </row>
    <row r="389" spans="1:11" ht="13.5" thickBot="1" x14ac:dyDescent="0.25">
      <c r="A389" s="80"/>
      <c r="B389" s="80"/>
      <c r="C389" s="80"/>
      <c r="D389" s="80" t="s">
        <v>172</v>
      </c>
      <c r="E389" s="80"/>
      <c r="F389" s="61">
        <v>2</v>
      </c>
      <c r="G389" s="9"/>
      <c r="H389" s="9"/>
      <c r="I389" s="9"/>
      <c r="J389" s="9">
        <f t="shared" si="50"/>
        <v>2</v>
      </c>
      <c r="K389" s="9"/>
    </row>
    <row r="390" spans="1:11" ht="14.25" thickTop="1" thickBot="1" x14ac:dyDescent="0.25">
      <c r="A390" s="82" t="str">
        <f>'PRESUPUESTO GENERAL '!A57</f>
        <v>IE 3</v>
      </c>
      <c r="B390" s="82" t="str">
        <f>'PRESUPUESTO GENERAL '!B57</f>
        <v>TOMACORRIENTE  DOBLE</v>
      </c>
      <c r="C390" s="82"/>
      <c r="D390" s="82"/>
      <c r="E390" s="82" t="str">
        <f>'PRESUPUESTO GENERAL '!C57</f>
        <v>pza</v>
      </c>
      <c r="F390" s="62"/>
      <c r="G390" s="10"/>
      <c r="H390" s="10"/>
      <c r="I390" s="10"/>
      <c r="J390" s="10"/>
      <c r="K390" s="38">
        <f>ROUND(SUM(J391:J406),2)</f>
        <v>26</v>
      </c>
    </row>
    <row r="391" spans="1:11" x14ac:dyDescent="0.2">
      <c r="A391" s="84"/>
      <c r="B391" s="84"/>
      <c r="C391" s="78" t="s">
        <v>141</v>
      </c>
      <c r="D391" s="78" t="s">
        <v>167</v>
      </c>
      <c r="E391" s="78"/>
      <c r="F391" s="60">
        <v>2</v>
      </c>
      <c r="G391" s="2"/>
      <c r="H391" s="2"/>
      <c r="I391" s="2"/>
      <c r="J391" s="2">
        <f>PRODUCT(F391:I391)</f>
        <v>2</v>
      </c>
      <c r="K391" s="3"/>
    </row>
    <row r="392" spans="1:11" x14ac:dyDescent="0.2">
      <c r="A392" s="84"/>
      <c r="B392" s="84"/>
      <c r="C392" s="78"/>
      <c r="D392" s="78" t="s">
        <v>168</v>
      </c>
      <c r="E392" s="78"/>
      <c r="F392" s="60">
        <v>2</v>
      </c>
      <c r="G392" s="2"/>
      <c r="H392" s="2"/>
      <c r="I392" s="2"/>
      <c r="J392" s="2">
        <f t="shared" ref="J392:J398" si="51">PRODUCT(F392:I392)</f>
        <v>2</v>
      </c>
      <c r="K392" s="3"/>
    </row>
    <row r="393" spans="1:11" x14ac:dyDescent="0.2">
      <c r="A393" s="84"/>
      <c r="B393" s="84"/>
      <c r="C393" s="78"/>
      <c r="D393" s="78" t="s">
        <v>153</v>
      </c>
      <c r="E393" s="78"/>
      <c r="F393" s="60">
        <v>2</v>
      </c>
      <c r="G393" s="2"/>
      <c r="H393" s="2"/>
      <c r="I393" s="2"/>
      <c r="J393" s="2">
        <f t="shared" si="51"/>
        <v>2</v>
      </c>
      <c r="K393" s="3"/>
    </row>
    <row r="394" spans="1:11" x14ac:dyDescent="0.2">
      <c r="A394" s="84"/>
      <c r="B394" s="84"/>
      <c r="C394" s="78"/>
      <c r="D394" s="78" t="s">
        <v>169</v>
      </c>
      <c r="E394" s="78"/>
      <c r="F394" s="60">
        <v>1</v>
      </c>
      <c r="G394" s="2"/>
      <c r="H394" s="2"/>
      <c r="I394" s="2"/>
      <c r="J394" s="2">
        <f t="shared" si="51"/>
        <v>1</v>
      </c>
      <c r="K394" s="3"/>
    </row>
    <row r="395" spans="1:11" x14ac:dyDescent="0.2">
      <c r="A395" s="84"/>
      <c r="B395" s="84"/>
      <c r="C395" s="78"/>
      <c r="D395" s="78" t="s">
        <v>170</v>
      </c>
      <c r="E395" s="78"/>
      <c r="F395" s="60">
        <v>1</v>
      </c>
      <c r="G395" s="2"/>
      <c r="H395" s="2"/>
      <c r="I395" s="2"/>
      <c r="J395" s="2">
        <f t="shared" si="51"/>
        <v>1</v>
      </c>
      <c r="K395" s="3"/>
    </row>
    <row r="396" spans="1:11" x14ac:dyDescent="0.2">
      <c r="A396" s="84"/>
      <c r="B396" s="84"/>
      <c r="C396" s="78"/>
      <c r="D396" s="78" t="s">
        <v>171</v>
      </c>
      <c r="E396" s="78"/>
      <c r="F396" s="60">
        <v>1</v>
      </c>
      <c r="G396" s="2"/>
      <c r="H396" s="2"/>
      <c r="I396" s="2"/>
      <c r="J396" s="2">
        <f t="shared" si="51"/>
        <v>1</v>
      </c>
      <c r="K396" s="3"/>
    </row>
    <row r="397" spans="1:11" x14ac:dyDescent="0.2">
      <c r="A397" s="84"/>
      <c r="B397" s="84"/>
      <c r="C397" s="78"/>
      <c r="D397" s="78" t="s">
        <v>156</v>
      </c>
      <c r="E397" s="78"/>
      <c r="F397" s="60">
        <v>1</v>
      </c>
      <c r="G397" s="2"/>
      <c r="H397" s="2"/>
      <c r="I397" s="2"/>
      <c r="J397" s="2">
        <f t="shared" si="51"/>
        <v>1</v>
      </c>
      <c r="K397" s="3"/>
    </row>
    <row r="398" spans="1:11" x14ac:dyDescent="0.2">
      <c r="A398" s="84"/>
      <c r="B398" s="84"/>
      <c r="C398" s="84"/>
      <c r="D398" s="78" t="s">
        <v>166</v>
      </c>
      <c r="E398" s="84"/>
      <c r="F398" s="63">
        <v>3</v>
      </c>
      <c r="G398" s="3"/>
      <c r="H398" s="3"/>
      <c r="I398" s="3"/>
      <c r="J398" s="3">
        <f t="shared" si="51"/>
        <v>3</v>
      </c>
      <c r="K398" s="3"/>
    </row>
    <row r="399" spans="1:11" x14ac:dyDescent="0.2">
      <c r="A399" s="84"/>
      <c r="B399" s="84"/>
      <c r="C399" s="78" t="s">
        <v>159</v>
      </c>
      <c r="D399" s="78" t="s">
        <v>167</v>
      </c>
      <c r="E399" s="78"/>
      <c r="F399" s="60">
        <v>2</v>
      </c>
      <c r="G399" s="2"/>
      <c r="H399" s="2"/>
      <c r="I399" s="2"/>
      <c r="J399" s="2">
        <f>PRODUCT(F399:I399)</f>
        <v>2</v>
      </c>
      <c r="K399" s="3"/>
    </row>
    <row r="400" spans="1:11" x14ac:dyDescent="0.2">
      <c r="A400" s="84"/>
      <c r="B400" s="84"/>
      <c r="C400" s="78"/>
      <c r="D400" s="78" t="s">
        <v>168</v>
      </c>
      <c r="E400" s="78"/>
      <c r="F400" s="60">
        <v>2</v>
      </c>
      <c r="G400" s="2"/>
      <c r="H400" s="2"/>
      <c r="I400" s="2"/>
      <c r="J400" s="2">
        <f t="shared" ref="J400:J406" si="52">PRODUCT(F400:I400)</f>
        <v>2</v>
      </c>
      <c r="K400" s="3"/>
    </row>
    <row r="401" spans="1:11" x14ac:dyDescent="0.2">
      <c r="A401" s="84"/>
      <c r="B401" s="84"/>
      <c r="C401" s="78"/>
      <c r="D401" s="78" t="s">
        <v>153</v>
      </c>
      <c r="E401" s="78"/>
      <c r="F401" s="60">
        <v>2</v>
      </c>
      <c r="G401" s="2"/>
      <c r="H401" s="2"/>
      <c r="I401" s="2"/>
      <c r="J401" s="2">
        <f t="shared" si="52"/>
        <v>2</v>
      </c>
      <c r="K401" s="3"/>
    </row>
    <row r="402" spans="1:11" x14ac:dyDescent="0.2">
      <c r="A402" s="84"/>
      <c r="B402" s="84"/>
      <c r="C402" s="78"/>
      <c r="D402" s="78" t="s">
        <v>169</v>
      </c>
      <c r="E402" s="78"/>
      <c r="F402" s="60">
        <v>1</v>
      </c>
      <c r="G402" s="2"/>
      <c r="H402" s="2"/>
      <c r="I402" s="2"/>
      <c r="J402" s="2">
        <f t="shared" si="52"/>
        <v>1</v>
      </c>
      <c r="K402" s="3"/>
    </row>
    <row r="403" spans="1:11" x14ac:dyDescent="0.2">
      <c r="A403" s="84"/>
      <c r="B403" s="84"/>
      <c r="C403" s="78"/>
      <c r="D403" s="78" t="s">
        <v>170</v>
      </c>
      <c r="E403" s="78"/>
      <c r="F403" s="60">
        <v>1</v>
      </c>
      <c r="G403" s="2"/>
      <c r="H403" s="2"/>
      <c r="I403" s="2"/>
      <c r="J403" s="2">
        <f t="shared" si="52"/>
        <v>1</v>
      </c>
      <c r="K403" s="3"/>
    </row>
    <row r="404" spans="1:11" x14ac:dyDescent="0.2">
      <c r="A404" s="84"/>
      <c r="B404" s="84"/>
      <c r="C404" s="78"/>
      <c r="D404" s="78" t="s">
        <v>171</v>
      </c>
      <c r="E404" s="78"/>
      <c r="F404" s="60">
        <v>1</v>
      </c>
      <c r="G404" s="2"/>
      <c r="H404" s="2"/>
      <c r="I404" s="2"/>
      <c r="J404" s="2">
        <f t="shared" si="52"/>
        <v>1</v>
      </c>
      <c r="K404" s="3"/>
    </row>
    <row r="405" spans="1:11" x14ac:dyDescent="0.2">
      <c r="A405" s="84"/>
      <c r="B405" s="84"/>
      <c r="C405" s="78"/>
      <c r="D405" s="78" t="s">
        <v>156</v>
      </c>
      <c r="E405" s="78"/>
      <c r="F405" s="60">
        <v>1</v>
      </c>
      <c r="G405" s="2"/>
      <c r="H405" s="2"/>
      <c r="I405" s="2"/>
      <c r="J405" s="2">
        <f t="shared" si="52"/>
        <v>1</v>
      </c>
      <c r="K405" s="3"/>
    </row>
    <row r="406" spans="1:11" ht="13.5" thickBot="1" x14ac:dyDescent="0.25">
      <c r="A406" s="102"/>
      <c r="B406" s="102"/>
      <c r="C406" s="102"/>
      <c r="D406" s="80" t="s">
        <v>166</v>
      </c>
      <c r="E406" s="102"/>
      <c r="F406" s="107">
        <v>3</v>
      </c>
      <c r="G406" s="108"/>
      <c r="H406" s="108"/>
      <c r="I406" s="108"/>
      <c r="J406" s="108">
        <f t="shared" si="52"/>
        <v>3</v>
      </c>
      <c r="K406" s="108"/>
    </row>
    <row r="407" spans="1:11" ht="14.25" thickTop="1" thickBot="1" x14ac:dyDescent="0.25">
      <c r="A407" s="82" t="str">
        <f>'PRESUPUESTO GENERAL '!A58</f>
        <v>IE 4</v>
      </c>
      <c r="B407" s="82" t="str">
        <f>'PRESUPUESTO GENERAL '!B58</f>
        <v>INSTALACION PUNTO TV</v>
      </c>
      <c r="C407" s="82"/>
      <c r="D407" s="82"/>
      <c r="E407" s="82" t="str">
        <f>'PRESUPUESTO GENERAL '!C58</f>
        <v>pto</v>
      </c>
      <c r="F407" s="62"/>
      <c r="G407" s="10"/>
      <c r="H407" s="10"/>
      <c r="I407" s="10"/>
      <c r="J407" s="10"/>
      <c r="K407" s="38">
        <f>ROUND(SUM(J408:J413),2)</f>
        <v>6</v>
      </c>
    </row>
    <row r="408" spans="1:11" x14ac:dyDescent="0.2">
      <c r="A408" s="84"/>
      <c r="B408" s="84"/>
      <c r="C408" s="78" t="s">
        <v>141</v>
      </c>
      <c r="D408" s="78" t="s">
        <v>167</v>
      </c>
      <c r="E408" s="78"/>
      <c r="F408" s="60">
        <v>1</v>
      </c>
      <c r="G408" s="2"/>
      <c r="H408" s="2"/>
      <c r="I408" s="2"/>
      <c r="J408" s="2">
        <f>PRODUCT(F408:I408)</f>
        <v>1</v>
      </c>
      <c r="K408" s="3"/>
    </row>
    <row r="409" spans="1:11" x14ac:dyDescent="0.2">
      <c r="A409" s="84"/>
      <c r="B409" s="84"/>
      <c r="C409" s="78"/>
      <c r="D409" s="78" t="s">
        <v>168</v>
      </c>
      <c r="E409" s="78"/>
      <c r="F409" s="60">
        <v>1</v>
      </c>
      <c r="G409" s="2"/>
      <c r="H409" s="2"/>
      <c r="I409" s="2"/>
      <c r="J409" s="2">
        <f t="shared" ref="J409:J410" si="53">PRODUCT(F409:I409)</f>
        <v>1</v>
      </c>
      <c r="K409" s="3"/>
    </row>
    <row r="410" spans="1:11" x14ac:dyDescent="0.2">
      <c r="A410" s="84"/>
      <c r="B410" s="84"/>
      <c r="C410" s="84"/>
      <c r="D410" s="78" t="s">
        <v>171</v>
      </c>
      <c r="E410" s="78"/>
      <c r="F410" s="60">
        <v>1</v>
      </c>
      <c r="G410" s="2"/>
      <c r="H410" s="2"/>
      <c r="I410" s="2"/>
      <c r="J410" s="2">
        <f t="shared" si="53"/>
        <v>1</v>
      </c>
      <c r="K410" s="3"/>
    </row>
    <row r="411" spans="1:11" x14ac:dyDescent="0.2">
      <c r="A411" s="84"/>
      <c r="B411" s="84"/>
      <c r="C411" s="78" t="s">
        <v>159</v>
      </c>
      <c r="D411" s="78" t="s">
        <v>167</v>
      </c>
      <c r="E411" s="78"/>
      <c r="F411" s="60">
        <v>1</v>
      </c>
      <c r="G411" s="2"/>
      <c r="H411" s="2"/>
      <c r="I411" s="2"/>
      <c r="J411" s="2">
        <f>PRODUCT(F411:I411)</f>
        <v>1</v>
      </c>
      <c r="K411" s="3"/>
    </row>
    <row r="412" spans="1:11" x14ac:dyDescent="0.2">
      <c r="A412" s="84"/>
      <c r="B412" s="84"/>
      <c r="C412" s="78"/>
      <c r="D412" s="78" t="s">
        <v>168</v>
      </c>
      <c r="E412" s="78"/>
      <c r="F412" s="60">
        <v>1</v>
      </c>
      <c r="G412" s="2"/>
      <c r="H412" s="2"/>
      <c r="I412" s="2"/>
      <c r="J412" s="2">
        <f t="shared" ref="J412:J416" si="54">PRODUCT(F412:I412)</f>
        <v>1</v>
      </c>
      <c r="K412" s="3"/>
    </row>
    <row r="413" spans="1:11" ht="13.5" thickBot="1" x14ac:dyDescent="0.25">
      <c r="A413" s="102"/>
      <c r="B413" s="102"/>
      <c r="C413" s="102"/>
      <c r="D413" s="80" t="s">
        <v>171</v>
      </c>
      <c r="E413" s="80"/>
      <c r="F413" s="61">
        <v>1</v>
      </c>
      <c r="G413" s="9"/>
      <c r="H413" s="9"/>
      <c r="I413" s="9"/>
      <c r="J413" s="9">
        <f t="shared" si="54"/>
        <v>1</v>
      </c>
      <c r="K413" s="108"/>
    </row>
    <row r="414" spans="1:11" ht="14.25" thickTop="1" thickBot="1" x14ac:dyDescent="0.25">
      <c r="A414" s="82" t="str">
        <f>'PRESUPUESTO GENERAL '!A59</f>
        <v>IE 5</v>
      </c>
      <c r="B414" s="82" t="str">
        <f>'PRESUPUESTO GENERAL '!B59</f>
        <v xml:space="preserve">INSTALACION TIMBRE </v>
      </c>
      <c r="C414" s="82"/>
      <c r="D414" s="82"/>
      <c r="E414" s="82" t="str">
        <f>'PRESUPUESTO GENERAL '!C59</f>
        <v>pto</v>
      </c>
      <c r="F414" s="62"/>
      <c r="G414" s="10"/>
      <c r="H414" s="10"/>
      <c r="I414" s="10"/>
      <c r="J414" s="10"/>
      <c r="K414" s="38">
        <f>ROUND(SUM(J415:J416),2)</f>
        <v>2</v>
      </c>
    </row>
    <row r="415" spans="1:11" x14ac:dyDescent="0.2">
      <c r="A415" s="84"/>
      <c r="B415" s="84"/>
      <c r="C415" s="78" t="s">
        <v>141</v>
      </c>
      <c r="D415" s="84" t="s">
        <v>173</v>
      </c>
      <c r="E415" s="84"/>
      <c r="F415" s="63">
        <v>1</v>
      </c>
      <c r="G415" s="3"/>
      <c r="H415" s="3"/>
      <c r="I415" s="3"/>
      <c r="J415" s="2">
        <f t="shared" si="54"/>
        <v>1</v>
      </c>
      <c r="K415" s="3"/>
    </row>
    <row r="416" spans="1:11" ht="13.5" thickBot="1" x14ac:dyDescent="0.25">
      <c r="A416" s="102"/>
      <c r="B416" s="102"/>
      <c r="C416" s="80" t="s">
        <v>159</v>
      </c>
      <c r="D416" s="102" t="s">
        <v>173</v>
      </c>
      <c r="E416" s="102"/>
      <c r="F416" s="107">
        <v>1</v>
      </c>
      <c r="G416" s="108"/>
      <c r="H416" s="108"/>
      <c r="I416" s="108"/>
      <c r="J416" s="9">
        <f t="shared" si="54"/>
        <v>1</v>
      </c>
      <c r="K416" s="108"/>
    </row>
    <row r="417" spans="1:11" ht="14.25" thickTop="1" thickBot="1" x14ac:dyDescent="0.25">
      <c r="A417" s="98" t="str">
        <f>'PRESUPUESTO GENERAL '!A60</f>
        <v xml:space="preserve">MODULO VI: TRABAJOS DE ACABADOS </v>
      </c>
      <c r="B417" s="98"/>
      <c r="C417" s="98"/>
      <c r="D417" s="98"/>
      <c r="E417" s="98"/>
      <c r="F417" s="68"/>
      <c r="G417" s="54"/>
      <c r="H417" s="54"/>
      <c r="I417" s="54"/>
      <c r="J417" s="54"/>
      <c r="K417" s="54"/>
    </row>
    <row r="418" spans="1:11" ht="14.25" thickTop="1" thickBot="1" x14ac:dyDescent="0.25">
      <c r="A418" s="99" t="str">
        <f>'PRESUPUESTO GENERAL '!A61</f>
        <v>TA 1</v>
      </c>
      <c r="B418" s="99" t="str">
        <f>'PRESUPUESTO GENERAL '!B61</f>
        <v xml:space="preserve">PINTURA INTERIOR LATEX </v>
      </c>
      <c r="C418" s="99"/>
      <c r="D418" s="99"/>
      <c r="E418" s="99" t="str">
        <f>'PRESUPUESTO GENERAL '!C61</f>
        <v>m²</v>
      </c>
      <c r="F418" s="100"/>
      <c r="G418" s="101"/>
      <c r="H418" s="101"/>
      <c r="I418" s="101"/>
      <c r="J418" s="101"/>
      <c r="K418" s="38">
        <f>ROUND(SUM(J419:J454),2)</f>
        <v>334.45</v>
      </c>
    </row>
    <row r="419" spans="1:11" x14ac:dyDescent="0.2">
      <c r="A419" s="78"/>
      <c r="B419" s="78"/>
      <c r="C419" s="78" t="s">
        <v>141</v>
      </c>
      <c r="D419" s="78" t="s">
        <v>151</v>
      </c>
      <c r="E419" s="78"/>
      <c r="F419" s="60">
        <v>2</v>
      </c>
      <c r="G419" s="2">
        <v>4.83</v>
      </c>
      <c r="H419" s="2"/>
      <c r="I419" s="2">
        <v>2.6</v>
      </c>
      <c r="J419" s="2">
        <f>PRODUCT(F419:I419)</f>
        <v>25.116</v>
      </c>
      <c r="K419" s="2"/>
    </row>
    <row r="420" spans="1:11" x14ac:dyDescent="0.2">
      <c r="A420" s="78"/>
      <c r="B420" s="78"/>
      <c r="C420" s="78"/>
      <c r="D420" s="78"/>
      <c r="E420" s="78"/>
      <c r="F420" s="60">
        <v>2</v>
      </c>
      <c r="G420" s="2">
        <v>3.84</v>
      </c>
      <c r="H420" s="2"/>
      <c r="I420" s="2">
        <v>2.6</v>
      </c>
      <c r="J420" s="2">
        <f t="shared" ref="J420:J454" si="55">PRODUCT(F420:I420)</f>
        <v>19.968</v>
      </c>
      <c r="K420" s="2"/>
    </row>
    <row r="421" spans="1:11" x14ac:dyDescent="0.2">
      <c r="A421" s="78"/>
      <c r="B421" s="78"/>
      <c r="C421" s="78"/>
      <c r="D421" s="78" t="s">
        <v>160</v>
      </c>
      <c r="E421" s="78"/>
      <c r="F421" s="60">
        <v>2</v>
      </c>
      <c r="G421" s="2">
        <v>4.83</v>
      </c>
      <c r="H421" s="2"/>
      <c r="I421" s="2">
        <v>2.6</v>
      </c>
      <c r="J421" s="2">
        <f t="shared" si="55"/>
        <v>25.116</v>
      </c>
      <c r="K421" s="2"/>
    </row>
    <row r="422" spans="1:11" x14ac:dyDescent="0.2">
      <c r="A422" s="78"/>
      <c r="B422" s="78"/>
      <c r="C422" s="78"/>
      <c r="D422" s="78"/>
      <c r="E422" s="78"/>
      <c r="F422" s="60">
        <v>2</v>
      </c>
      <c r="G422" s="2">
        <v>3.86</v>
      </c>
      <c r="H422" s="2"/>
      <c r="I422" s="2">
        <v>2.6</v>
      </c>
      <c r="J422" s="2">
        <f t="shared" si="55"/>
        <v>20.071999999999999</v>
      </c>
      <c r="K422" s="2"/>
    </row>
    <row r="423" spans="1:11" x14ac:dyDescent="0.2">
      <c r="A423" s="78"/>
      <c r="B423" s="78"/>
      <c r="C423" s="78"/>
      <c r="D423" s="78" t="s">
        <v>153</v>
      </c>
      <c r="E423" s="78"/>
      <c r="F423" s="60">
        <v>2</v>
      </c>
      <c r="G423" s="2">
        <v>3.85</v>
      </c>
      <c r="H423" s="2"/>
      <c r="I423" s="2">
        <v>2.6</v>
      </c>
      <c r="J423" s="2">
        <f t="shared" si="55"/>
        <v>20.02</v>
      </c>
      <c r="K423" s="2"/>
    </row>
    <row r="424" spans="1:11" x14ac:dyDescent="0.2">
      <c r="A424" s="78"/>
      <c r="B424" s="78"/>
      <c r="C424" s="78"/>
      <c r="D424" s="78"/>
      <c r="E424" s="78"/>
      <c r="F424" s="60">
        <v>2</v>
      </c>
      <c r="G424" s="2">
        <v>2.85</v>
      </c>
      <c r="H424" s="2"/>
      <c r="I424" s="2">
        <v>2.6</v>
      </c>
      <c r="J424" s="2">
        <f t="shared" si="55"/>
        <v>14.82</v>
      </c>
      <c r="K424" s="2"/>
    </row>
    <row r="425" spans="1:11" x14ac:dyDescent="0.2">
      <c r="A425" s="78"/>
      <c r="B425" s="78"/>
      <c r="C425" s="78"/>
      <c r="D425" s="78" t="s">
        <v>155</v>
      </c>
      <c r="E425" s="78"/>
      <c r="F425" s="60">
        <v>2</v>
      </c>
      <c r="G425" s="2">
        <v>2.85</v>
      </c>
      <c r="H425" s="2"/>
      <c r="I425" s="2">
        <v>2.6</v>
      </c>
      <c r="J425" s="2">
        <f t="shared" si="55"/>
        <v>14.82</v>
      </c>
      <c r="K425" s="2"/>
    </row>
    <row r="426" spans="1:11" x14ac:dyDescent="0.2">
      <c r="A426" s="78"/>
      <c r="B426" s="78"/>
      <c r="C426" s="78"/>
      <c r="D426" s="78"/>
      <c r="E426" s="78"/>
      <c r="F426" s="60">
        <v>1</v>
      </c>
      <c r="G426" s="2">
        <v>6.79</v>
      </c>
      <c r="H426" s="2"/>
      <c r="I426" s="2">
        <v>2.6</v>
      </c>
      <c r="J426" s="2">
        <f t="shared" si="55"/>
        <v>17.654</v>
      </c>
      <c r="K426" s="2"/>
    </row>
    <row r="427" spans="1:11" x14ac:dyDescent="0.2">
      <c r="A427" s="78"/>
      <c r="B427" s="78"/>
      <c r="C427" s="78"/>
      <c r="D427" s="78" t="s">
        <v>161</v>
      </c>
      <c r="E427" s="78"/>
      <c r="F427" s="60">
        <v>1</v>
      </c>
      <c r="G427" s="2">
        <v>4</v>
      </c>
      <c r="H427" s="2"/>
      <c r="I427" s="2">
        <v>2.6</v>
      </c>
      <c r="J427" s="2">
        <f t="shared" si="55"/>
        <v>10.4</v>
      </c>
      <c r="K427" s="2"/>
    </row>
    <row r="428" spans="1:11" x14ac:dyDescent="0.2">
      <c r="A428" s="78"/>
      <c r="B428" s="78"/>
      <c r="C428" s="78"/>
      <c r="D428" s="78"/>
      <c r="E428" s="78"/>
      <c r="F428" s="60">
        <v>1</v>
      </c>
      <c r="G428" s="2">
        <v>5.32</v>
      </c>
      <c r="H428" s="2"/>
      <c r="I428" s="2">
        <v>2.6</v>
      </c>
      <c r="J428" s="2">
        <f t="shared" si="55"/>
        <v>13.832000000000001</v>
      </c>
      <c r="K428" s="2"/>
    </row>
    <row r="429" spans="1:11" x14ac:dyDescent="0.2">
      <c r="A429" s="78"/>
      <c r="B429" s="78"/>
      <c r="C429" s="78"/>
      <c r="D429" s="78" t="s">
        <v>162</v>
      </c>
      <c r="E429" s="78"/>
      <c r="F429" s="60">
        <v>1</v>
      </c>
      <c r="G429" s="2">
        <v>3.85</v>
      </c>
      <c r="H429" s="2"/>
      <c r="I429" s="2">
        <v>2.6</v>
      </c>
      <c r="J429" s="2">
        <f t="shared" si="55"/>
        <v>10.01</v>
      </c>
      <c r="K429" s="2"/>
    </row>
    <row r="430" spans="1:11" x14ac:dyDescent="0.2">
      <c r="A430" s="78"/>
      <c r="B430" s="78"/>
      <c r="C430" s="78"/>
      <c r="D430" s="78"/>
      <c r="E430" s="78"/>
      <c r="F430" s="60">
        <v>2</v>
      </c>
      <c r="G430" s="2">
        <v>2.5299999999999998</v>
      </c>
      <c r="H430" s="2"/>
      <c r="I430" s="2">
        <v>2.6</v>
      </c>
      <c r="J430" s="2">
        <f t="shared" si="55"/>
        <v>13.155999999999999</v>
      </c>
      <c r="K430" s="2"/>
    </row>
    <row r="431" spans="1:11" x14ac:dyDescent="0.2">
      <c r="A431" s="78"/>
      <c r="B431" s="78"/>
      <c r="C431" s="78"/>
      <c r="D431" s="78" t="s">
        <v>145</v>
      </c>
      <c r="E431" s="78"/>
      <c r="F431" s="60">
        <v>-5</v>
      </c>
      <c r="G431" s="2">
        <v>2.2000000000000002</v>
      </c>
      <c r="H431" s="2"/>
      <c r="I431" s="2">
        <v>1.5</v>
      </c>
      <c r="J431" s="2">
        <f t="shared" si="55"/>
        <v>-16.5</v>
      </c>
      <c r="K431" s="2"/>
    </row>
    <row r="432" spans="1:11" x14ac:dyDescent="0.2">
      <c r="A432" s="78"/>
      <c r="B432" s="78"/>
      <c r="C432" s="78"/>
      <c r="D432" s="78" t="s">
        <v>146</v>
      </c>
      <c r="E432" s="78"/>
      <c r="F432" s="60">
        <v>-2</v>
      </c>
      <c r="G432" s="2">
        <v>1.5</v>
      </c>
      <c r="H432" s="2"/>
      <c r="I432" s="2">
        <v>1.5</v>
      </c>
      <c r="J432" s="2">
        <f t="shared" si="55"/>
        <v>-4.5</v>
      </c>
      <c r="K432" s="2"/>
    </row>
    <row r="433" spans="1:11" x14ac:dyDescent="0.2">
      <c r="A433" s="78"/>
      <c r="B433" s="78"/>
      <c r="C433" s="78"/>
      <c r="D433" s="78" t="s">
        <v>147</v>
      </c>
      <c r="E433" s="78"/>
      <c r="F433" s="60">
        <v>-1</v>
      </c>
      <c r="G433" s="2">
        <v>1</v>
      </c>
      <c r="H433" s="2"/>
      <c r="I433" s="2">
        <v>0.8</v>
      </c>
      <c r="J433" s="2">
        <f t="shared" si="55"/>
        <v>-0.8</v>
      </c>
      <c r="K433" s="2"/>
    </row>
    <row r="434" spans="1:11" x14ac:dyDescent="0.2">
      <c r="A434" s="78"/>
      <c r="B434" s="78"/>
      <c r="C434" s="78"/>
      <c r="D434" s="78" t="s">
        <v>137</v>
      </c>
      <c r="E434" s="78"/>
      <c r="F434" s="60">
        <v>-5</v>
      </c>
      <c r="G434" s="2">
        <v>1</v>
      </c>
      <c r="H434" s="2"/>
      <c r="I434" s="2">
        <v>2.1</v>
      </c>
      <c r="J434" s="2">
        <f t="shared" si="55"/>
        <v>-10.5</v>
      </c>
      <c r="K434" s="2"/>
    </row>
    <row r="435" spans="1:11" x14ac:dyDescent="0.2">
      <c r="A435" s="78"/>
      <c r="B435" s="78"/>
      <c r="C435" s="78"/>
      <c r="D435" s="78" t="s">
        <v>138</v>
      </c>
      <c r="E435" s="78"/>
      <c r="F435" s="60">
        <v>-2</v>
      </c>
      <c r="G435" s="2">
        <v>0.9</v>
      </c>
      <c r="H435" s="2"/>
      <c r="I435" s="2">
        <v>2.1</v>
      </c>
      <c r="J435" s="2">
        <f t="shared" si="55"/>
        <v>-3.7800000000000002</v>
      </c>
      <c r="K435" s="2"/>
    </row>
    <row r="436" spans="1:11" x14ac:dyDescent="0.2">
      <c r="A436" s="78"/>
      <c r="B436" s="78"/>
      <c r="C436" s="78"/>
      <c r="D436" s="78" t="s">
        <v>139</v>
      </c>
      <c r="E436" s="78"/>
      <c r="F436" s="60">
        <v>-1</v>
      </c>
      <c r="G436" s="2">
        <v>0.8</v>
      </c>
      <c r="H436" s="2"/>
      <c r="I436" s="2">
        <v>2.1</v>
      </c>
      <c r="J436" s="2">
        <f t="shared" si="55"/>
        <v>-1.6800000000000002</v>
      </c>
      <c r="K436" s="2"/>
    </row>
    <row r="437" spans="1:11" x14ac:dyDescent="0.2">
      <c r="A437" s="78"/>
      <c r="B437" s="78"/>
      <c r="C437" s="78" t="s">
        <v>148</v>
      </c>
      <c r="D437" s="78" t="s">
        <v>151</v>
      </c>
      <c r="E437" s="78"/>
      <c r="F437" s="60">
        <v>2</v>
      </c>
      <c r="G437" s="2">
        <v>4.83</v>
      </c>
      <c r="H437" s="2"/>
      <c r="I437" s="2">
        <v>2.6</v>
      </c>
      <c r="J437" s="2">
        <f t="shared" si="55"/>
        <v>25.116</v>
      </c>
      <c r="K437" s="2"/>
    </row>
    <row r="438" spans="1:11" x14ac:dyDescent="0.2">
      <c r="A438" s="78"/>
      <c r="B438" s="78"/>
      <c r="C438" s="78"/>
      <c r="D438" s="78"/>
      <c r="E438" s="78"/>
      <c r="F438" s="60">
        <v>2</v>
      </c>
      <c r="G438" s="2">
        <v>3.84</v>
      </c>
      <c r="H438" s="2"/>
      <c r="I438" s="2">
        <v>2.6</v>
      </c>
      <c r="J438" s="2">
        <f t="shared" si="55"/>
        <v>19.968</v>
      </c>
      <c r="K438" s="2"/>
    </row>
    <row r="439" spans="1:11" x14ac:dyDescent="0.2">
      <c r="A439" s="78"/>
      <c r="B439" s="78"/>
      <c r="C439" s="78"/>
      <c r="D439" s="78" t="s">
        <v>160</v>
      </c>
      <c r="E439" s="78"/>
      <c r="F439" s="60">
        <v>2</v>
      </c>
      <c r="G439" s="2">
        <v>4.83</v>
      </c>
      <c r="H439" s="2"/>
      <c r="I439" s="2">
        <v>2.6</v>
      </c>
      <c r="J439" s="2">
        <f t="shared" si="55"/>
        <v>25.116</v>
      </c>
      <c r="K439" s="2"/>
    </row>
    <row r="440" spans="1:11" x14ac:dyDescent="0.2">
      <c r="A440" s="78"/>
      <c r="B440" s="78"/>
      <c r="C440" s="78"/>
      <c r="D440" s="78"/>
      <c r="E440" s="78"/>
      <c r="F440" s="60">
        <v>2</v>
      </c>
      <c r="G440" s="2">
        <v>3.86</v>
      </c>
      <c r="H440" s="2"/>
      <c r="I440" s="2">
        <v>2.6</v>
      </c>
      <c r="J440" s="2">
        <f t="shared" si="55"/>
        <v>20.071999999999999</v>
      </c>
      <c r="K440" s="2"/>
    </row>
    <row r="441" spans="1:11" x14ac:dyDescent="0.2">
      <c r="A441" s="78"/>
      <c r="B441" s="78"/>
      <c r="C441" s="78"/>
      <c r="D441" s="78" t="s">
        <v>153</v>
      </c>
      <c r="E441" s="78"/>
      <c r="F441" s="60">
        <v>2</v>
      </c>
      <c r="G441" s="2">
        <v>3.85</v>
      </c>
      <c r="H441" s="2"/>
      <c r="I441" s="2">
        <v>2.6</v>
      </c>
      <c r="J441" s="2">
        <f t="shared" si="55"/>
        <v>20.02</v>
      </c>
      <c r="K441" s="2"/>
    </row>
    <row r="442" spans="1:11" x14ac:dyDescent="0.2">
      <c r="A442" s="78"/>
      <c r="B442" s="78"/>
      <c r="C442" s="78"/>
      <c r="D442" s="78"/>
      <c r="E442" s="78"/>
      <c r="F442" s="60">
        <v>2</v>
      </c>
      <c r="G442" s="2">
        <v>2.85</v>
      </c>
      <c r="H442" s="2"/>
      <c r="I442" s="2">
        <v>2.6</v>
      </c>
      <c r="J442" s="2">
        <f t="shared" si="55"/>
        <v>14.82</v>
      </c>
      <c r="K442" s="2"/>
    </row>
    <row r="443" spans="1:11" x14ac:dyDescent="0.2">
      <c r="A443" s="78"/>
      <c r="B443" s="78"/>
      <c r="C443" s="78"/>
      <c r="D443" s="78" t="s">
        <v>155</v>
      </c>
      <c r="E443" s="78"/>
      <c r="F443" s="60">
        <v>2</v>
      </c>
      <c r="G443" s="2">
        <v>2.85</v>
      </c>
      <c r="H443" s="2"/>
      <c r="I443" s="2">
        <v>2.6</v>
      </c>
      <c r="J443" s="2">
        <f t="shared" si="55"/>
        <v>14.82</v>
      </c>
      <c r="K443" s="2"/>
    </row>
    <row r="444" spans="1:11" x14ac:dyDescent="0.2">
      <c r="A444" s="78"/>
      <c r="B444" s="78"/>
      <c r="C444" s="78"/>
      <c r="D444" s="78"/>
      <c r="E444" s="78"/>
      <c r="F444" s="60">
        <v>1</v>
      </c>
      <c r="G444" s="2">
        <v>6.79</v>
      </c>
      <c r="H444" s="2"/>
      <c r="I444" s="2">
        <v>2.6</v>
      </c>
      <c r="J444" s="2">
        <f t="shared" si="55"/>
        <v>17.654</v>
      </c>
      <c r="K444" s="2"/>
    </row>
    <row r="445" spans="1:11" x14ac:dyDescent="0.2">
      <c r="A445" s="78"/>
      <c r="B445" s="78"/>
      <c r="C445" s="78"/>
      <c r="D445" s="78" t="s">
        <v>161</v>
      </c>
      <c r="E445" s="78"/>
      <c r="F445" s="60">
        <v>1</v>
      </c>
      <c r="G445" s="2">
        <v>4</v>
      </c>
      <c r="H445" s="2"/>
      <c r="I445" s="2">
        <v>2.6</v>
      </c>
      <c r="J445" s="2">
        <f t="shared" si="55"/>
        <v>10.4</v>
      </c>
      <c r="K445" s="2"/>
    </row>
    <row r="446" spans="1:11" x14ac:dyDescent="0.2">
      <c r="A446" s="78"/>
      <c r="B446" s="78"/>
      <c r="C446" s="78"/>
      <c r="D446" s="78"/>
      <c r="E446" s="78"/>
      <c r="F446" s="60">
        <v>1</v>
      </c>
      <c r="G446" s="2">
        <v>5.32</v>
      </c>
      <c r="H446" s="2"/>
      <c r="I446" s="2">
        <v>2.6</v>
      </c>
      <c r="J446" s="2">
        <f t="shared" si="55"/>
        <v>13.832000000000001</v>
      </c>
      <c r="K446" s="2"/>
    </row>
    <row r="447" spans="1:11" x14ac:dyDescent="0.2">
      <c r="A447" s="78"/>
      <c r="B447" s="78"/>
      <c r="C447" s="78"/>
      <c r="D447" s="78" t="s">
        <v>162</v>
      </c>
      <c r="E447" s="78"/>
      <c r="F447" s="60">
        <v>1</v>
      </c>
      <c r="G447" s="2">
        <v>3.85</v>
      </c>
      <c r="H447" s="2"/>
      <c r="I447" s="2">
        <v>2.6</v>
      </c>
      <c r="J447" s="2">
        <f t="shared" si="55"/>
        <v>10.01</v>
      </c>
      <c r="K447" s="2"/>
    </row>
    <row r="448" spans="1:11" x14ac:dyDescent="0.2">
      <c r="A448" s="78"/>
      <c r="B448" s="78"/>
      <c r="C448" s="78"/>
      <c r="D448" s="78"/>
      <c r="E448" s="78"/>
      <c r="F448" s="60">
        <v>2</v>
      </c>
      <c r="G448" s="2">
        <v>2.5299999999999998</v>
      </c>
      <c r="H448" s="2"/>
      <c r="I448" s="2">
        <v>2.6</v>
      </c>
      <c r="J448" s="2">
        <f t="shared" si="55"/>
        <v>13.155999999999999</v>
      </c>
      <c r="K448" s="2"/>
    </row>
    <row r="449" spans="1:11" x14ac:dyDescent="0.2">
      <c r="A449" s="78"/>
      <c r="B449" s="78"/>
      <c r="C449" s="78"/>
      <c r="D449" s="78" t="s">
        <v>145</v>
      </c>
      <c r="E449" s="78"/>
      <c r="F449" s="60">
        <v>-5</v>
      </c>
      <c r="G449" s="2">
        <v>2.2000000000000002</v>
      </c>
      <c r="H449" s="2"/>
      <c r="I449" s="2">
        <v>1.5</v>
      </c>
      <c r="J449" s="2">
        <f t="shared" si="55"/>
        <v>-16.5</v>
      </c>
      <c r="K449" s="2"/>
    </row>
    <row r="450" spans="1:11" x14ac:dyDescent="0.2">
      <c r="A450" s="78"/>
      <c r="B450" s="78"/>
      <c r="C450" s="84"/>
      <c r="D450" s="78" t="s">
        <v>146</v>
      </c>
      <c r="E450" s="78"/>
      <c r="F450" s="60">
        <v>-2</v>
      </c>
      <c r="G450" s="2">
        <v>1.5</v>
      </c>
      <c r="H450" s="2"/>
      <c r="I450" s="2">
        <v>1.5</v>
      </c>
      <c r="J450" s="2">
        <f t="shared" si="55"/>
        <v>-4.5</v>
      </c>
      <c r="K450" s="2"/>
    </row>
    <row r="451" spans="1:11" x14ac:dyDescent="0.2">
      <c r="A451" s="78"/>
      <c r="B451" s="78"/>
      <c r="C451" s="84"/>
      <c r="D451" s="78" t="s">
        <v>147</v>
      </c>
      <c r="E451" s="78"/>
      <c r="F451" s="60">
        <v>-1</v>
      </c>
      <c r="G451" s="2">
        <v>1</v>
      </c>
      <c r="H451" s="2"/>
      <c r="I451" s="2">
        <v>0.8</v>
      </c>
      <c r="J451" s="2">
        <f t="shared" si="55"/>
        <v>-0.8</v>
      </c>
      <c r="K451" s="2"/>
    </row>
    <row r="452" spans="1:11" x14ac:dyDescent="0.2">
      <c r="A452" s="78"/>
      <c r="B452" s="78"/>
      <c r="C452" s="84"/>
      <c r="D452" s="78" t="s">
        <v>137</v>
      </c>
      <c r="E452" s="78"/>
      <c r="F452" s="60">
        <v>-5</v>
      </c>
      <c r="G452" s="2">
        <v>1</v>
      </c>
      <c r="H452" s="2"/>
      <c r="I452" s="2">
        <v>2.1</v>
      </c>
      <c r="J452" s="2">
        <f t="shared" si="55"/>
        <v>-10.5</v>
      </c>
      <c r="K452" s="2"/>
    </row>
    <row r="453" spans="1:11" x14ac:dyDescent="0.2">
      <c r="A453" s="78"/>
      <c r="B453" s="78"/>
      <c r="C453" s="84"/>
      <c r="D453" s="78" t="s">
        <v>138</v>
      </c>
      <c r="E453" s="78"/>
      <c r="F453" s="60">
        <v>-2</v>
      </c>
      <c r="G453" s="2">
        <v>0.9</v>
      </c>
      <c r="H453" s="2"/>
      <c r="I453" s="2">
        <v>2.1</v>
      </c>
      <c r="J453" s="2">
        <f t="shared" si="55"/>
        <v>-3.7800000000000002</v>
      </c>
      <c r="K453" s="2"/>
    </row>
    <row r="454" spans="1:11" ht="13.5" thickBot="1" x14ac:dyDescent="0.25">
      <c r="A454" s="80"/>
      <c r="B454" s="80"/>
      <c r="C454" s="102"/>
      <c r="D454" s="80" t="s">
        <v>139</v>
      </c>
      <c r="E454" s="80"/>
      <c r="F454" s="61">
        <v>-1</v>
      </c>
      <c r="G454" s="9">
        <v>0.8</v>
      </c>
      <c r="H454" s="9"/>
      <c r="I454" s="9">
        <v>2.1</v>
      </c>
      <c r="J454" s="9">
        <f t="shared" si="55"/>
        <v>-1.6800000000000002</v>
      </c>
      <c r="K454" s="9"/>
    </row>
    <row r="455" spans="1:11" ht="14.25" thickTop="1" thickBot="1" x14ac:dyDescent="0.25">
      <c r="A455" s="76" t="str">
        <f>'PRESUPUESTO GENERAL '!A62</f>
        <v>TA 8</v>
      </c>
      <c r="B455" s="76" t="str">
        <f>'PRESUPUESTO GENERAL '!B62</f>
        <v xml:space="preserve">PINTURA EXTERIOR LATEX </v>
      </c>
      <c r="C455" s="76"/>
      <c r="D455" s="76"/>
      <c r="E455" s="76" t="str">
        <f>'PRESUPUESTO GENERAL '!C62</f>
        <v>m²</v>
      </c>
      <c r="F455" s="59"/>
      <c r="G455" s="8"/>
      <c r="H455" s="8"/>
      <c r="I455" s="8"/>
      <c r="J455" s="8"/>
      <c r="K455" s="38">
        <f>ROUND(SUM(J456:J474),2)</f>
        <v>163.24</v>
      </c>
    </row>
    <row r="456" spans="1:11" x14ac:dyDescent="0.2">
      <c r="A456" s="84"/>
      <c r="B456" s="84"/>
      <c r="C456" s="78" t="s">
        <v>141</v>
      </c>
      <c r="D456" s="78" t="s">
        <v>136</v>
      </c>
      <c r="E456" s="78"/>
      <c r="F456" s="60">
        <v>1</v>
      </c>
      <c r="G456" s="2">
        <v>12.03</v>
      </c>
      <c r="H456" s="2"/>
      <c r="I456" s="2">
        <v>2.1800000000000002</v>
      </c>
      <c r="J456" s="2">
        <f>PRODUCT(F456:I456)</f>
        <v>26.2254</v>
      </c>
      <c r="K456" s="41"/>
    </row>
    <row r="457" spans="1:11" x14ac:dyDescent="0.2">
      <c r="A457" s="84"/>
      <c r="B457" s="84"/>
      <c r="C457" s="78"/>
      <c r="D457" s="78" t="s">
        <v>142</v>
      </c>
      <c r="E457" s="78"/>
      <c r="F457" s="60">
        <v>1</v>
      </c>
      <c r="G457" s="2">
        <v>0.97</v>
      </c>
      <c r="H457" s="2"/>
      <c r="I457" s="2">
        <v>2.1800000000000002</v>
      </c>
      <c r="J457" s="2">
        <f t="shared" ref="J457:J460" si="56">PRODUCT(F457:I457)</f>
        <v>2.1146000000000003</v>
      </c>
      <c r="K457" s="41"/>
    </row>
    <row r="458" spans="1:11" x14ac:dyDescent="0.2">
      <c r="A458" s="84"/>
      <c r="B458" s="84"/>
      <c r="C458" s="78"/>
      <c r="D458" s="78" t="s">
        <v>135</v>
      </c>
      <c r="E458" s="78"/>
      <c r="F458" s="60">
        <v>1</v>
      </c>
      <c r="G458" s="2">
        <v>11.05</v>
      </c>
      <c r="H458" s="2"/>
      <c r="I458" s="2">
        <v>2.1800000000000002</v>
      </c>
      <c r="J458" s="2">
        <f t="shared" si="56"/>
        <v>24.089000000000002</v>
      </c>
      <c r="K458" s="41"/>
    </row>
    <row r="459" spans="1:11" x14ac:dyDescent="0.2">
      <c r="A459" s="84"/>
      <c r="B459" s="84"/>
      <c r="C459" s="78"/>
      <c r="D459" s="78" t="s">
        <v>143</v>
      </c>
      <c r="E459" s="78"/>
      <c r="F459" s="60">
        <v>2</v>
      </c>
      <c r="G459" s="2">
        <v>8.0299999999999994</v>
      </c>
      <c r="H459" s="2"/>
      <c r="I459" s="2">
        <v>2.1800000000000002</v>
      </c>
      <c r="J459" s="2">
        <f t="shared" si="56"/>
        <v>35.010800000000003</v>
      </c>
      <c r="K459" s="41"/>
    </row>
    <row r="460" spans="1:11" x14ac:dyDescent="0.2">
      <c r="A460" s="84"/>
      <c r="B460" s="84"/>
      <c r="C460" s="78"/>
      <c r="D460" s="78" t="s">
        <v>144</v>
      </c>
      <c r="E460" s="78"/>
      <c r="F460" s="60">
        <v>2</v>
      </c>
      <c r="G460" s="2">
        <v>3.03</v>
      </c>
      <c r="H460" s="2"/>
      <c r="I460" s="2">
        <v>2.1800000000000002</v>
      </c>
      <c r="J460" s="2">
        <f t="shared" si="56"/>
        <v>13.210800000000001</v>
      </c>
      <c r="K460" s="41"/>
    </row>
    <row r="461" spans="1:11" x14ac:dyDescent="0.2">
      <c r="A461" s="84"/>
      <c r="B461" s="84"/>
      <c r="C461" s="78"/>
      <c r="D461" s="78"/>
      <c r="E461" s="78"/>
      <c r="F461" s="60"/>
      <c r="G461" s="2"/>
      <c r="H461" s="2"/>
      <c r="I461" s="2"/>
      <c r="J461" s="2"/>
      <c r="K461" s="41"/>
    </row>
    <row r="462" spans="1:11" x14ac:dyDescent="0.2">
      <c r="A462" s="84"/>
      <c r="B462" s="84"/>
      <c r="C462" s="78"/>
      <c r="D462" s="78" t="s">
        <v>145</v>
      </c>
      <c r="E462" s="78"/>
      <c r="F462" s="60">
        <v>-5</v>
      </c>
      <c r="G462" s="2">
        <v>2.2000000000000002</v>
      </c>
      <c r="H462" s="2"/>
      <c r="I462" s="2">
        <v>1.5</v>
      </c>
      <c r="J462" s="2">
        <f t="shared" ref="J462:J464" si="57">PRODUCT(F462:I462)</f>
        <v>-16.5</v>
      </c>
      <c r="K462" s="41"/>
    </row>
    <row r="463" spans="1:11" x14ac:dyDescent="0.2">
      <c r="A463" s="84"/>
      <c r="B463" s="84"/>
      <c r="C463" s="78"/>
      <c r="D463" s="78" t="s">
        <v>146</v>
      </c>
      <c r="E463" s="78"/>
      <c r="F463" s="60">
        <v>-2</v>
      </c>
      <c r="G463" s="2">
        <v>1.5</v>
      </c>
      <c r="H463" s="2"/>
      <c r="I463" s="2">
        <v>1.5</v>
      </c>
      <c r="J463" s="2">
        <f t="shared" si="57"/>
        <v>-4.5</v>
      </c>
      <c r="K463" s="41"/>
    </row>
    <row r="464" spans="1:11" x14ac:dyDescent="0.2">
      <c r="A464" s="84"/>
      <c r="B464" s="84"/>
      <c r="C464" s="78"/>
      <c r="D464" s="78" t="s">
        <v>147</v>
      </c>
      <c r="E464" s="78"/>
      <c r="F464" s="60">
        <v>-1</v>
      </c>
      <c r="G464" s="2">
        <v>1</v>
      </c>
      <c r="H464" s="2"/>
      <c r="I464" s="2">
        <v>0.8</v>
      </c>
      <c r="J464" s="2">
        <f t="shared" si="57"/>
        <v>-0.8</v>
      </c>
      <c r="K464" s="41"/>
    </row>
    <row r="465" spans="1:11" x14ac:dyDescent="0.2">
      <c r="A465" s="84"/>
      <c r="B465" s="84"/>
      <c r="C465" s="78"/>
      <c r="D465" s="78"/>
      <c r="E465" s="78"/>
      <c r="F465" s="60"/>
      <c r="G465" s="2"/>
      <c r="H465" s="2"/>
      <c r="I465" s="2"/>
      <c r="J465" s="2"/>
      <c r="K465" s="41"/>
    </row>
    <row r="466" spans="1:11" x14ac:dyDescent="0.2">
      <c r="A466" s="84"/>
      <c r="B466" s="84"/>
      <c r="C466" s="78" t="s">
        <v>148</v>
      </c>
      <c r="D466" s="78" t="s">
        <v>136</v>
      </c>
      <c r="E466" s="78"/>
      <c r="F466" s="60">
        <v>1</v>
      </c>
      <c r="G466" s="2">
        <v>12.03</v>
      </c>
      <c r="H466" s="2"/>
      <c r="I466" s="2">
        <v>2.2999999999999998</v>
      </c>
      <c r="J466" s="2">
        <f t="shared" ref="J466:J474" si="58">PRODUCT(F466:I466)</f>
        <v>27.668999999999997</v>
      </c>
      <c r="K466" s="41"/>
    </row>
    <row r="467" spans="1:11" x14ac:dyDescent="0.2">
      <c r="A467" s="84"/>
      <c r="B467" s="84"/>
      <c r="C467" s="78"/>
      <c r="D467" s="78" t="s">
        <v>142</v>
      </c>
      <c r="E467" s="78"/>
      <c r="F467" s="60">
        <v>1</v>
      </c>
      <c r="G467" s="2">
        <v>0.97</v>
      </c>
      <c r="H467" s="2"/>
      <c r="I467" s="2">
        <v>2.2999999999999998</v>
      </c>
      <c r="J467" s="2">
        <f t="shared" si="58"/>
        <v>2.2309999999999999</v>
      </c>
      <c r="K467" s="41"/>
    </row>
    <row r="468" spans="1:11" x14ac:dyDescent="0.2">
      <c r="A468" s="84"/>
      <c r="B468" s="84"/>
      <c r="C468" s="78"/>
      <c r="D468" s="78" t="s">
        <v>135</v>
      </c>
      <c r="E468" s="78"/>
      <c r="F468" s="60">
        <v>1</v>
      </c>
      <c r="G468" s="2">
        <v>11.05</v>
      </c>
      <c r="H468" s="2"/>
      <c r="I468" s="2">
        <v>2.2999999999999998</v>
      </c>
      <c r="J468" s="2">
        <f t="shared" si="58"/>
        <v>25.414999999999999</v>
      </c>
      <c r="K468" s="41"/>
    </row>
    <row r="469" spans="1:11" x14ac:dyDescent="0.2">
      <c r="A469" s="84"/>
      <c r="B469" s="84"/>
      <c r="C469" s="78"/>
      <c r="D469" s="78" t="s">
        <v>143</v>
      </c>
      <c r="E469" s="78"/>
      <c r="F469" s="60">
        <v>2</v>
      </c>
      <c r="G469" s="2">
        <v>8.0299999999999994</v>
      </c>
      <c r="H469" s="2"/>
      <c r="I469" s="2">
        <v>2.2999999999999998</v>
      </c>
      <c r="J469" s="2">
        <f t="shared" si="58"/>
        <v>36.937999999999995</v>
      </c>
      <c r="K469" s="41"/>
    </row>
    <row r="470" spans="1:11" x14ac:dyDescent="0.2">
      <c r="A470" s="84"/>
      <c r="B470" s="84"/>
      <c r="C470" s="78"/>
      <c r="D470" s="78" t="s">
        <v>144</v>
      </c>
      <c r="E470" s="78"/>
      <c r="F470" s="60">
        <v>2</v>
      </c>
      <c r="G470" s="2">
        <v>3.03</v>
      </c>
      <c r="H470" s="2"/>
      <c r="I470" s="2">
        <v>2.2999999999999998</v>
      </c>
      <c r="J470" s="2">
        <f t="shared" si="58"/>
        <v>13.937999999999999</v>
      </c>
      <c r="K470" s="41"/>
    </row>
    <row r="471" spans="1:11" x14ac:dyDescent="0.2">
      <c r="A471" s="84"/>
      <c r="B471" s="84"/>
      <c r="C471" s="78"/>
      <c r="D471" s="78"/>
      <c r="E471" s="78"/>
      <c r="F471" s="60"/>
      <c r="G471" s="2"/>
      <c r="H471" s="2"/>
      <c r="I471" s="2"/>
      <c r="J471" s="2">
        <f t="shared" si="58"/>
        <v>0</v>
      </c>
      <c r="K471" s="41"/>
    </row>
    <row r="472" spans="1:11" x14ac:dyDescent="0.2">
      <c r="A472" s="84"/>
      <c r="B472" s="84"/>
      <c r="C472" s="78"/>
      <c r="D472" s="78" t="s">
        <v>145</v>
      </c>
      <c r="E472" s="78"/>
      <c r="F472" s="60">
        <v>-5</v>
      </c>
      <c r="G472" s="2">
        <v>2.2000000000000002</v>
      </c>
      <c r="H472" s="2"/>
      <c r="I472" s="2">
        <v>1.5</v>
      </c>
      <c r="J472" s="2">
        <f t="shared" si="58"/>
        <v>-16.5</v>
      </c>
      <c r="K472" s="41"/>
    </row>
    <row r="473" spans="1:11" x14ac:dyDescent="0.2">
      <c r="A473" s="84"/>
      <c r="B473" s="84"/>
      <c r="C473" s="78"/>
      <c r="D473" s="78" t="s">
        <v>146</v>
      </c>
      <c r="E473" s="78"/>
      <c r="F473" s="60">
        <v>-2</v>
      </c>
      <c r="G473" s="2">
        <v>1.5</v>
      </c>
      <c r="H473" s="2"/>
      <c r="I473" s="2">
        <v>1.5</v>
      </c>
      <c r="J473" s="2">
        <f t="shared" si="58"/>
        <v>-4.5</v>
      </c>
      <c r="K473" s="41"/>
    </row>
    <row r="474" spans="1:11" ht="13.5" thickBot="1" x14ac:dyDescent="0.25">
      <c r="A474" s="84"/>
      <c r="B474" s="84"/>
      <c r="C474" s="80"/>
      <c r="D474" s="80" t="s">
        <v>147</v>
      </c>
      <c r="E474" s="80"/>
      <c r="F474" s="61">
        <v>-1</v>
      </c>
      <c r="G474" s="9">
        <v>1</v>
      </c>
      <c r="H474" s="9"/>
      <c r="I474" s="9">
        <v>0.8</v>
      </c>
      <c r="J474" s="9">
        <f t="shared" si="58"/>
        <v>-0.8</v>
      </c>
      <c r="K474" s="42"/>
    </row>
    <row r="475" spans="1:11" ht="14.25" thickTop="1" thickBot="1" x14ac:dyDescent="0.25">
      <c r="A475" s="99" t="str">
        <f>'PRESUPUESTO GENERAL '!A63</f>
        <v>TA 9</v>
      </c>
      <c r="B475" s="99" t="str">
        <f>'PRESUPUESTO GENERAL '!B63</f>
        <v xml:space="preserve">PINTURA INTERIOR AL OLEO </v>
      </c>
      <c r="C475" s="99"/>
      <c r="D475" s="99"/>
      <c r="E475" s="99" t="str">
        <f>'PRESUPUESTO GENERAL '!C63</f>
        <v>m²</v>
      </c>
      <c r="F475" s="100"/>
      <c r="G475" s="101"/>
      <c r="H475" s="101"/>
      <c r="I475" s="101"/>
      <c r="J475" s="101"/>
      <c r="K475" s="38">
        <f>ROUND(SUM(J476:J479),2)</f>
        <v>22</v>
      </c>
    </row>
    <row r="476" spans="1:11" x14ac:dyDescent="0.2">
      <c r="A476" s="78"/>
      <c r="B476" s="78"/>
      <c r="C476" s="78" t="s">
        <v>141</v>
      </c>
      <c r="D476" s="78" t="s">
        <v>156</v>
      </c>
      <c r="E476" s="78"/>
      <c r="F476" s="60">
        <v>1</v>
      </c>
      <c r="G476" s="2">
        <v>2.85</v>
      </c>
      <c r="H476" s="2">
        <v>1.43</v>
      </c>
      <c r="I476" s="2"/>
      <c r="J476" s="2">
        <f t="shared" ref="J476:J477" si="59">PRODUCT(F476:I476)</f>
        <v>4.0754999999999999</v>
      </c>
      <c r="K476" s="2"/>
    </row>
    <row r="477" spans="1:11" x14ac:dyDescent="0.2">
      <c r="A477" s="78"/>
      <c r="B477" s="78"/>
      <c r="C477" s="78"/>
      <c r="D477" s="78" t="s">
        <v>163</v>
      </c>
      <c r="E477" s="78"/>
      <c r="F477" s="60">
        <v>1</v>
      </c>
      <c r="G477" s="2">
        <v>2.85</v>
      </c>
      <c r="H477" s="2">
        <v>2.4300000000000002</v>
      </c>
      <c r="I477" s="2"/>
      <c r="J477" s="2">
        <f t="shared" si="59"/>
        <v>6.9255000000000004</v>
      </c>
      <c r="K477" s="2"/>
    </row>
    <row r="478" spans="1:11" x14ac:dyDescent="0.2">
      <c r="A478" s="78"/>
      <c r="B478" s="78"/>
      <c r="C478" s="78" t="s">
        <v>201</v>
      </c>
      <c r="D478" s="78" t="s">
        <v>156</v>
      </c>
      <c r="E478" s="78"/>
      <c r="F478" s="60">
        <v>1</v>
      </c>
      <c r="G478" s="2">
        <v>2.85</v>
      </c>
      <c r="H478" s="2">
        <v>1.43</v>
      </c>
      <c r="I478" s="2"/>
      <c r="J478" s="2">
        <f t="shared" ref="J478:J479" si="60">PRODUCT(F478:I478)</f>
        <v>4.0754999999999999</v>
      </c>
      <c r="K478" s="2"/>
    </row>
    <row r="479" spans="1:11" ht="13.5" thickBot="1" x14ac:dyDescent="0.25">
      <c r="A479" s="80"/>
      <c r="B479" s="80"/>
      <c r="C479" s="80"/>
      <c r="D479" s="80" t="s">
        <v>163</v>
      </c>
      <c r="E479" s="80"/>
      <c r="F479" s="61">
        <v>1</v>
      </c>
      <c r="G479" s="9">
        <v>2.85</v>
      </c>
      <c r="H479" s="9">
        <v>2.4300000000000002</v>
      </c>
      <c r="I479" s="9"/>
      <c r="J479" s="9">
        <f t="shared" si="60"/>
        <v>6.9255000000000004</v>
      </c>
      <c r="K479" s="5"/>
    </row>
    <row r="480" spans="1:11" ht="14.25" thickTop="1" thickBot="1" x14ac:dyDescent="0.25">
      <c r="A480" s="76" t="str">
        <f>'PRESUPUESTO GENERAL '!A64</f>
        <v>TA 10</v>
      </c>
      <c r="B480" s="76" t="str">
        <f>'PRESUPUESTO GENERAL '!B64</f>
        <v>PINTURA ANTICORROSIVA P/CUBIERTA</v>
      </c>
      <c r="C480" s="76"/>
      <c r="D480" s="76"/>
      <c r="E480" s="76" t="str">
        <f>'PRESUPUESTO GENERAL '!C64</f>
        <v>m²</v>
      </c>
      <c r="F480" s="59"/>
      <c r="G480" s="8"/>
      <c r="H480" s="8"/>
      <c r="I480" s="8"/>
      <c r="J480" s="34"/>
      <c r="K480" s="32">
        <f>ROUND(SUM(J481:J482),2)</f>
        <v>154.22</v>
      </c>
    </row>
    <row r="481" spans="1:11" x14ac:dyDescent="0.2">
      <c r="A481" s="78"/>
      <c r="B481" s="78"/>
      <c r="C481" s="78" t="s">
        <v>157</v>
      </c>
      <c r="D481" s="78" t="s">
        <v>149</v>
      </c>
      <c r="E481" s="78"/>
      <c r="F481" s="60">
        <v>1</v>
      </c>
      <c r="G481" s="2">
        <v>12.83</v>
      </c>
      <c r="H481" s="2">
        <v>6.01</v>
      </c>
      <c r="I481" s="2"/>
      <c r="J481" s="2">
        <f>PRODUCT(F481:I481)</f>
        <v>77.1083</v>
      </c>
      <c r="K481" s="3"/>
    </row>
    <row r="482" spans="1:11" ht="13.5" thickBot="1" x14ac:dyDescent="0.25">
      <c r="A482" s="80"/>
      <c r="B482" s="80"/>
      <c r="C482" s="80" t="s">
        <v>158</v>
      </c>
      <c r="D482" s="80" t="s">
        <v>150</v>
      </c>
      <c r="E482" s="80"/>
      <c r="F482" s="61">
        <v>1</v>
      </c>
      <c r="G482" s="9">
        <v>12.83</v>
      </c>
      <c r="H482" s="9">
        <v>6.01</v>
      </c>
      <c r="I482" s="9"/>
      <c r="J482" s="9">
        <f>PRODUCT(F482:I482)</f>
        <v>77.1083</v>
      </c>
      <c r="K482" s="9"/>
    </row>
    <row r="483" spans="1:11" ht="13.5" thickTop="1" x14ac:dyDescent="0.2"/>
  </sheetData>
  <mergeCells count="10">
    <mergeCell ref="A2:A3"/>
    <mergeCell ref="J2:J3"/>
    <mergeCell ref="K2:K3"/>
    <mergeCell ref="A1:K1"/>
    <mergeCell ref="G2:I2"/>
    <mergeCell ref="F2:F3"/>
    <mergeCell ref="E2:E3"/>
    <mergeCell ref="D2:D3"/>
    <mergeCell ref="C2:C3"/>
    <mergeCell ref="B2:B3"/>
  </mergeCells>
  <pageMargins left="0.25" right="0.25" top="0.75" bottom="0.75" header="0.3" footer="0.3"/>
  <pageSetup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2"/>
  <sheetViews>
    <sheetView topLeftCell="A40" workbookViewId="0">
      <selection activeCell="F91" sqref="F91"/>
    </sheetView>
  </sheetViews>
  <sheetFormatPr baseColWidth="10" defaultRowHeight="15" x14ac:dyDescent="0.25"/>
  <cols>
    <col min="2" max="2" width="24.7109375" bestFit="1" customWidth="1"/>
    <col min="3" max="3" width="5.42578125" bestFit="1" customWidth="1"/>
    <col min="4" max="4" width="9.7109375" bestFit="1" customWidth="1"/>
    <col min="5" max="5" width="18.7109375" bestFit="1" customWidth="1"/>
    <col min="6" max="6" width="11.5703125" style="164"/>
  </cols>
  <sheetData>
    <row r="1" spans="1:6" ht="21" x14ac:dyDescent="0.35">
      <c r="A1" s="219" t="s">
        <v>251</v>
      </c>
      <c r="B1" s="219"/>
      <c r="C1" s="219"/>
      <c r="D1" s="219"/>
      <c r="E1" s="219"/>
      <c r="F1" s="219"/>
    </row>
    <row r="3" spans="1:6" x14ac:dyDescent="0.25">
      <c r="A3" s="154" t="s">
        <v>252</v>
      </c>
      <c r="B3" s="154" t="str">
        <f>LOOKUP(A3,'PRESUPUESTO GENERAL '!$A$4)</f>
        <v>CONSTRUCCION VIVIENDA</v>
      </c>
      <c r="E3" s="154" t="s">
        <v>256</v>
      </c>
      <c r="F3" s="161">
        <f>PRODUCT(Preciounitario/F4)</f>
        <v>284.42241379310343</v>
      </c>
    </row>
    <row r="4" spans="1:6" x14ac:dyDescent="0.25">
      <c r="A4" s="154" t="s">
        <v>253</v>
      </c>
      <c r="B4" s="155" t="s">
        <v>124</v>
      </c>
      <c r="E4" s="154"/>
      <c r="F4" s="161">
        <v>6.96</v>
      </c>
    </row>
    <row r="5" spans="1:6" x14ac:dyDescent="0.25">
      <c r="A5" s="154" t="s">
        <v>2</v>
      </c>
      <c r="B5" s="154" t="str">
        <f>VLOOKUP(B4,Tabla1[#All],2,FALSE)</f>
        <v>INSTALACION DE FAENAS</v>
      </c>
      <c r="E5" s="154" t="s">
        <v>257</v>
      </c>
      <c r="F5" s="161">
        <f>VLOOKUP(B4,Tabla1[#All],4,FALSE)</f>
        <v>1</v>
      </c>
    </row>
    <row r="6" spans="1:6" x14ac:dyDescent="0.25">
      <c r="A6" s="154" t="s">
        <v>254</v>
      </c>
      <c r="B6" s="154" t="str">
        <f>VLOOKUP(B4,Tabla1[#All],3,FALSE)</f>
        <v>Glb</v>
      </c>
      <c r="E6" s="154"/>
      <c r="F6" s="161"/>
    </row>
    <row r="7" spans="1:6" x14ac:dyDescent="0.25">
      <c r="A7" s="154" t="s">
        <v>255</v>
      </c>
      <c r="B7" s="160">
        <f>'PRESUPUESTO GENERAL '!$F$2</f>
        <v>43952</v>
      </c>
      <c r="E7" s="154" t="s">
        <v>256</v>
      </c>
      <c r="F7" s="161">
        <f>ROUND(PRODUCT(F3,F5),2)</f>
        <v>284.42</v>
      </c>
    </row>
    <row r="9" spans="1:6" x14ac:dyDescent="0.25">
      <c r="A9" s="162">
        <v>1</v>
      </c>
      <c r="B9" s="162" t="s">
        <v>258</v>
      </c>
    </row>
    <row r="10" spans="1:6" x14ac:dyDescent="0.25">
      <c r="A10" s="163" t="s">
        <v>259</v>
      </c>
      <c r="B10" s="163" t="s">
        <v>260</v>
      </c>
      <c r="C10" s="163" t="s">
        <v>261</v>
      </c>
      <c r="D10" s="163" t="s">
        <v>16</v>
      </c>
      <c r="E10" s="163" t="s">
        <v>262</v>
      </c>
      <c r="F10" s="165" t="s">
        <v>263</v>
      </c>
    </row>
    <row r="11" spans="1:6" x14ac:dyDescent="0.25">
      <c r="A11" s="155">
        <v>1</v>
      </c>
      <c r="B11" s="154" t="str">
        <f>VLOOKUP(A11,InsumoMateriales[],2,FALSE)</f>
        <v>ACCESORIOS 5/8"</v>
      </c>
      <c r="C11" s="154" t="str">
        <f>VLOOKUP(A11,InsumoMateriales[],3,FALSE)</f>
        <v>juego</v>
      </c>
      <c r="D11" s="191">
        <v>1</v>
      </c>
      <c r="E11" s="154">
        <f>VLOOKUP(A11,InsumoMateriales[],4,FALSE)</f>
        <v>2.75</v>
      </c>
      <c r="F11" s="161">
        <f>ROUND(PRODUCT(D11:E11),2)</f>
        <v>2.75</v>
      </c>
    </row>
    <row r="12" spans="1:6" x14ac:dyDescent="0.25">
      <c r="A12" s="155"/>
      <c r="B12" s="154"/>
      <c r="C12" s="154"/>
      <c r="D12" s="191"/>
      <c r="E12" s="154"/>
      <c r="F12" s="161">
        <f t="shared" ref="F12:F13" si="0">ROUND(PRODUCT(D12:E12),2)</f>
        <v>0</v>
      </c>
    </row>
    <row r="13" spans="1:6" x14ac:dyDescent="0.25">
      <c r="A13" s="155"/>
      <c r="B13" s="154"/>
      <c r="C13" s="154"/>
      <c r="D13" s="191"/>
      <c r="E13" s="154"/>
      <c r="F13" s="161">
        <f t="shared" si="0"/>
        <v>0</v>
      </c>
    </row>
    <row r="14" spans="1:6" x14ac:dyDescent="0.25">
      <c r="A14" s="220" t="s">
        <v>264</v>
      </c>
      <c r="B14" s="221"/>
      <c r="C14" s="221"/>
      <c r="D14" s="221"/>
      <c r="E14" s="222"/>
      <c r="F14" s="168">
        <f>ROUND(SUM(F11:F13),2)</f>
        <v>2.75</v>
      </c>
    </row>
    <row r="16" spans="1:6" x14ac:dyDescent="0.25">
      <c r="A16" s="162">
        <v>2</v>
      </c>
      <c r="B16" s="162" t="s">
        <v>265</v>
      </c>
    </row>
    <row r="17" spans="1:6" x14ac:dyDescent="0.25">
      <c r="A17" s="163" t="s">
        <v>259</v>
      </c>
      <c r="B17" s="163" t="s">
        <v>260</v>
      </c>
      <c r="C17" s="163" t="s">
        <v>261</v>
      </c>
      <c r="D17" s="163" t="s">
        <v>16</v>
      </c>
      <c r="E17" s="163" t="s">
        <v>262</v>
      </c>
      <c r="F17" s="165" t="s">
        <v>263</v>
      </c>
    </row>
    <row r="18" spans="1:6" x14ac:dyDescent="0.25">
      <c r="A18" s="155">
        <v>1</v>
      </c>
      <c r="B18" s="154" t="str">
        <f>VLOOKUP(A18,INSUMOSMANODEOBRA[],2,FALSE)</f>
        <v>ALBAÑIL</v>
      </c>
      <c r="C18" s="154" t="str">
        <f>VLOOKUP(A18,INSUMOSMANODEOBRA[],3,FALSE)</f>
        <v>hr</v>
      </c>
      <c r="D18" s="191">
        <v>24</v>
      </c>
      <c r="E18" s="154">
        <f>VLOOKUP(A18,INSUMOSMANODEOBRA[],4,FALSE)</f>
        <v>18.75</v>
      </c>
      <c r="F18" s="161">
        <f>ROUND(PRODUCT(D18:E18),2)</f>
        <v>450</v>
      </c>
    </row>
    <row r="19" spans="1:6" x14ac:dyDescent="0.25">
      <c r="A19" s="155">
        <v>3</v>
      </c>
      <c r="B19" s="154" t="str">
        <f>VLOOKUP(A19,INSUMOSMANODEOBRA[],2,FALSE)</f>
        <v>AYUDANTE  PLOMERO</v>
      </c>
      <c r="C19" s="154" t="str">
        <f>VLOOKUP(A19,INSUMOSMANODEOBRA[],3,FALSE)</f>
        <v>hr</v>
      </c>
      <c r="D19" s="191">
        <v>24</v>
      </c>
      <c r="E19" s="154">
        <f>VLOOKUP(A19,INSUMOSMANODEOBRA[],4,FALSE)</f>
        <v>15</v>
      </c>
      <c r="F19" s="161">
        <f t="shared" ref="F19:F20" si="1">ROUND(PRODUCT(D19:E19),2)</f>
        <v>360</v>
      </c>
    </row>
    <row r="20" spans="1:6" x14ac:dyDescent="0.25">
      <c r="A20" s="154"/>
      <c r="B20" s="154"/>
      <c r="C20" s="154"/>
      <c r="D20" s="154"/>
      <c r="E20" s="154"/>
      <c r="F20" s="161">
        <f t="shared" si="1"/>
        <v>0</v>
      </c>
    </row>
    <row r="21" spans="1:6" x14ac:dyDescent="0.25">
      <c r="A21" s="223" t="s">
        <v>266</v>
      </c>
      <c r="B21" s="223"/>
      <c r="C21" s="223"/>
      <c r="D21" s="223"/>
      <c r="E21" s="223"/>
      <c r="F21" s="169">
        <f>ROUND(SUM(F18:F20),2)</f>
        <v>810</v>
      </c>
    </row>
    <row r="22" spans="1:6" x14ac:dyDescent="0.25">
      <c r="A22" s="154"/>
      <c r="B22" s="154" t="s">
        <v>267</v>
      </c>
      <c r="D22" s="154" t="s">
        <v>268</v>
      </c>
      <c r="E22" s="166">
        <v>0.55000000000000004</v>
      </c>
      <c r="F22" s="161">
        <f>ROUND(PRODUCT(Subtotalmanodeobra,CargasSociales),2)</f>
        <v>445.5</v>
      </c>
    </row>
    <row r="23" spans="1:6" x14ac:dyDescent="0.25">
      <c r="A23" s="154"/>
      <c r="B23" s="154" t="s">
        <v>269</v>
      </c>
      <c r="D23" s="154" t="s">
        <v>268</v>
      </c>
      <c r="E23" s="167">
        <v>0.14940000000000001</v>
      </c>
      <c r="F23" s="161">
        <f>ROUND(SUM(Subtotalmanodeobra,F22)*E23,2)</f>
        <v>187.57</v>
      </c>
    </row>
    <row r="24" spans="1:6" x14ac:dyDescent="0.25">
      <c r="A24" s="224" t="s">
        <v>270</v>
      </c>
      <c r="B24" s="224"/>
      <c r="C24" s="224"/>
      <c r="D24" s="224"/>
      <c r="E24" s="224"/>
      <c r="F24" s="168">
        <f>ROUND(SUM(Subtotalmanodeobra,F22,F23),2)</f>
        <v>1443.07</v>
      </c>
    </row>
    <row r="26" spans="1:6" x14ac:dyDescent="0.25">
      <c r="A26" s="162">
        <v>3</v>
      </c>
      <c r="B26" s="162" t="s">
        <v>271</v>
      </c>
    </row>
    <row r="27" spans="1:6" x14ac:dyDescent="0.25">
      <c r="A27" s="163" t="s">
        <v>259</v>
      </c>
      <c r="B27" s="163" t="s">
        <v>260</v>
      </c>
      <c r="C27" s="163" t="s">
        <v>261</v>
      </c>
      <c r="D27" s="163" t="s">
        <v>16</v>
      </c>
      <c r="E27" s="163" t="s">
        <v>262</v>
      </c>
      <c r="F27" s="165" t="s">
        <v>263</v>
      </c>
    </row>
    <row r="28" spans="1:6" x14ac:dyDescent="0.25">
      <c r="A28" s="154"/>
      <c r="B28" s="154"/>
      <c r="C28" s="154"/>
      <c r="D28" s="154"/>
      <c r="E28" s="154"/>
      <c r="F28" s="161">
        <f>ROUND(PRODUCT(D28:E28),2)</f>
        <v>0</v>
      </c>
    </row>
    <row r="29" spans="1:6" x14ac:dyDescent="0.25">
      <c r="A29" s="154"/>
      <c r="B29" s="154"/>
      <c r="C29" s="154"/>
      <c r="D29" s="154"/>
      <c r="E29" s="154"/>
      <c r="F29" s="161">
        <f t="shared" ref="F29:F30" si="2">ROUND(PRODUCT(D29:E29),2)</f>
        <v>0</v>
      </c>
    </row>
    <row r="30" spans="1:6" x14ac:dyDescent="0.25">
      <c r="A30" s="154"/>
      <c r="B30" s="154"/>
      <c r="C30" s="154"/>
      <c r="D30" s="154"/>
      <c r="E30" s="154"/>
      <c r="F30" s="161">
        <f t="shared" si="2"/>
        <v>0</v>
      </c>
    </row>
    <row r="31" spans="1:6" x14ac:dyDescent="0.25">
      <c r="A31" s="154" t="s">
        <v>272</v>
      </c>
      <c r="B31" s="154"/>
      <c r="D31" s="154" t="s">
        <v>268</v>
      </c>
      <c r="E31" s="166">
        <v>0.05</v>
      </c>
      <c r="F31" s="161">
        <f>ROUND(PRODUCT(Totalmanodeobra,E31),2)</f>
        <v>72.150000000000006</v>
      </c>
    </row>
    <row r="32" spans="1:6" x14ac:dyDescent="0.25">
      <c r="A32" s="170"/>
      <c r="B32" s="170" t="s">
        <v>273</v>
      </c>
      <c r="C32" s="170"/>
      <c r="D32" s="170"/>
      <c r="E32" s="170"/>
      <c r="F32" s="168">
        <f>ROUND(SUM(F28:F31),2)</f>
        <v>72.150000000000006</v>
      </c>
    </row>
    <row r="34" spans="1:6" x14ac:dyDescent="0.25">
      <c r="A34" s="170">
        <v>4</v>
      </c>
      <c r="B34" s="170" t="s">
        <v>274</v>
      </c>
      <c r="C34" s="170"/>
      <c r="D34" s="170"/>
      <c r="E34" s="170"/>
      <c r="F34" s="168"/>
    </row>
    <row r="35" spans="1:6" x14ac:dyDescent="0.25">
      <c r="A35" s="154"/>
      <c r="B35" s="154"/>
      <c r="C35" s="154" t="s">
        <v>268</v>
      </c>
      <c r="D35" s="166">
        <v>0.15</v>
      </c>
      <c r="E35" s="154" t="s">
        <v>278</v>
      </c>
      <c r="F35" s="161">
        <f>ROUND(SUM(TotalMateriales,Totalmanodeobra,Totalequipomaquinariayherramientas)*D35,2)</f>
        <v>227.7</v>
      </c>
    </row>
    <row r="36" spans="1:6" x14ac:dyDescent="0.25">
      <c r="A36" s="170">
        <v>5</v>
      </c>
      <c r="B36" s="170" t="s">
        <v>275</v>
      </c>
      <c r="C36" s="170"/>
      <c r="D36" s="170"/>
      <c r="E36" s="170"/>
      <c r="F36" s="168"/>
    </row>
    <row r="37" spans="1:6" x14ac:dyDescent="0.25">
      <c r="A37" s="154"/>
      <c r="B37" s="154"/>
      <c r="C37" s="154" t="s">
        <v>268</v>
      </c>
      <c r="D37" s="166">
        <v>0.1</v>
      </c>
      <c r="E37" s="154" t="s">
        <v>279</v>
      </c>
      <c r="F37" s="161">
        <f>ROUND(SUM(TotalMateriales,Totalmanodeobra,Totalequipomaquinariayherramientas,Gastosgenerales)*D37,2)</f>
        <v>174.57</v>
      </c>
    </row>
    <row r="38" spans="1:6" x14ac:dyDescent="0.25">
      <c r="A38" s="170">
        <v>6</v>
      </c>
      <c r="B38" s="170" t="s">
        <v>277</v>
      </c>
      <c r="C38" s="170"/>
      <c r="D38" s="170"/>
      <c r="E38" s="170"/>
      <c r="F38" s="168"/>
    </row>
    <row r="39" spans="1:6" x14ac:dyDescent="0.25">
      <c r="A39" s="154"/>
      <c r="B39" s="154"/>
      <c r="C39" s="154" t="s">
        <v>268</v>
      </c>
      <c r="D39" s="167">
        <v>3.09E-2</v>
      </c>
      <c r="E39" s="154" t="s">
        <v>280</v>
      </c>
      <c r="F39" s="161">
        <f>ROUND(SUM(TotalMateriales,Totalmanodeobra,Totalequipomaquinariayherramientas,Gastosgenerales,Utilidad)*D39,2)</f>
        <v>59.34</v>
      </c>
    </row>
    <row r="40" spans="1:6" x14ac:dyDescent="0.25">
      <c r="A40" s="220" t="s">
        <v>276</v>
      </c>
      <c r="B40" s="221"/>
      <c r="C40" s="221"/>
      <c r="D40" s="222"/>
      <c r="E40" s="170" t="s">
        <v>281</v>
      </c>
      <c r="F40" s="168">
        <f>ROUND(SUM(TotalMateriales,Totalmanodeobra,Totalequipomaquinariayherramientas,Gastosgenerales,Utilidad,ImpuestosIT),2)</f>
        <v>1979.58</v>
      </c>
    </row>
    <row r="41" spans="1:6" s="171" customFormat="1" x14ac:dyDescent="0.25">
      <c r="F41" s="172"/>
    </row>
    <row r="42" spans="1:6" ht="21" x14ac:dyDescent="0.35">
      <c r="A42" s="219" t="s">
        <v>251</v>
      </c>
      <c r="B42" s="219"/>
      <c r="C42" s="219"/>
      <c r="D42" s="219"/>
      <c r="E42" s="219"/>
      <c r="F42" s="219"/>
    </row>
    <row r="44" spans="1:6" x14ac:dyDescent="0.25">
      <c r="A44" s="154" t="s">
        <v>252</v>
      </c>
      <c r="B44" s="154" t="str">
        <f>LOOKUP(A44,'PRESUPUESTO GENERAL '!$A$4)</f>
        <v>CONSTRUCCION VIVIENDA</v>
      </c>
      <c r="E44" s="154" t="s">
        <v>256</v>
      </c>
      <c r="F44" s="161">
        <f>PRODUCT(Preciounitario/F45)</f>
        <v>284.42241379310343</v>
      </c>
    </row>
    <row r="45" spans="1:6" x14ac:dyDescent="0.25">
      <c r="A45" s="154" t="s">
        <v>253</v>
      </c>
      <c r="B45" s="155" t="s">
        <v>125</v>
      </c>
      <c r="E45" s="154"/>
      <c r="F45" s="161">
        <v>6.96</v>
      </c>
    </row>
    <row r="46" spans="1:6" x14ac:dyDescent="0.25">
      <c r="A46" s="154" t="s">
        <v>2</v>
      </c>
      <c r="B46" s="154" t="str">
        <f>VLOOKUP(B45,Tabla1[#All],2,FALSE)</f>
        <v>REPLANTEO</v>
      </c>
      <c r="E46" s="154" t="s">
        <v>257</v>
      </c>
      <c r="F46" s="161">
        <f>VLOOKUP(B45,Tabla1[#All],4,FALSE)</f>
        <v>162.63999999999999</v>
      </c>
    </row>
    <row r="47" spans="1:6" x14ac:dyDescent="0.25">
      <c r="A47" s="154" t="s">
        <v>254</v>
      </c>
      <c r="B47" s="154" t="str">
        <f>VLOOKUP(B45,Tabla1[#All],3,FALSE)</f>
        <v>m²</v>
      </c>
      <c r="E47" s="154"/>
      <c r="F47" s="161"/>
    </row>
    <row r="48" spans="1:6" x14ac:dyDescent="0.25">
      <c r="A48" s="154" t="s">
        <v>255</v>
      </c>
      <c r="B48" s="160">
        <f>'PRESUPUESTO GENERAL '!$F$2</f>
        <v>43952</v>
      </c>
      <c r="E48" s="154" t="s">
        <v>256</v>
      </c>
      <c r="F48" s="161">
        <f>ROUND(PRODUCT(F44,F46),2)</f>
        <v>46258.46</v>
      </c>
    </row>
    <row r="50" spans="1:6" x14ac:dyDescent="0.25">
      <c r="A50" s="162">
        <v>1</v>
      </c>
      <c r="B50" s="162" t="s">
        <v>258</v>
      </c>
    </row>
    <row r="51" spans="1:6" x14ac:dyDescent="0.25">
      <c r="A51" s="163" t="s">
        <v>259</v>
      </c>
      <c r="B51" s="163" t="s">
        <v>260</v>
      </c>
      <c r="C51" s="163" t="s">
        <v>261</v>
      </c>
      <c r="D51" s="163" t="s">
        <v>16</v>
      </c>
      <c r="E51" s="163" t="s">
        <v>262</v>
      </c>
      <c r="F51" s="165" t="s">
        <v>263</v>
      </c>
    </row>
    <row r="52" spans="1:6" x14ac:dyDescent="0.25">
      <c r="A52" s="155">
        <v>2</v>
      </c>
      <c r="B52" s="154" t="str">
        <f>VLOOKUP(A52,InsumoMateriales[],2,FALSE)</f>
        <v>ACCESORIOS F.G. D=1/2" IND. ARGEN.</v>
      </c>
      <c r="C52" s="154" t="str">
        <f>VLOOKUP(A52,InsumoMateriales[],3,FALSE)</f>
        <v>pza</v>
      </c>
      <c r="D52" s="191">
        <v>0.5</v>
      </c>
      <c r="E52" s="154">
        <f>VLOOKUP(A52,InsumoMateriales[],4,FALSE)</f>
        <v>5.8</v>
      </c>
      <c r="F52" s="161">
        <f>ROUND(PRODUCT(D52:E52),2)</f>
        <v>2.9</v>
      </c>
    </row>
    <row r="53" spans="1:6" x14ac:dyDescent="0.25">
      <c r="A53" s="155">
        <v>3</v>
      </c>
      <c r="B53" s="154" t="str">
        <f>VLOOKUP(A53,InsumoMateriales[],2,FALSE)</f>
        <v>ACCESORIOS PARA AUDIO</v>
      </c>
      <c r="C53" s="154" t="str">
        <f>VLOOKUP(A53,InsumoMateriales[],3,FALSE)</f>
        <v>juego</v>
      </c>
      <c r="D53" s="191">
        <v>0.2</v>
      </c>
      <c r="E53" s="154">
        <f>VLOOKUP(A53,InsumoMateriales[],4,FALSE)</f>
        <v>61.6</v>
      </c>
      <c r="F53" s="161">
        <f t="shared" ref="F53:F55" si="3">ROUND(PRODUCT(D53:E53),2)</f>
        <v>12.32</v>
      </c>
    </row>
    <row r="54" spans="1:6" x14ac:dyDescent="0.25">
      <c r="A54" s="155">
        <v>4</v>
      </c>
      <c r="B54" s="154" t="str">
        <f>VLOOKUP(A54,InsumoMateriales[],2,FALSE)</f>
        <v>ACCESORIOS PARA INSTALACION SANITARIA</v>
      </c>
      <c r="C54" s="154" t="str">
        <f>VLOOKUP(A54,InsumoMateriales[],3,FALSE)</f>
        <v>glb</v>
      </c>
      <c r="D54" s="191">
        <v>0.01</v>
      </c>
      <c r="E54" s="154">
        <f>VLOOKUP(A54,InsumoMateriales[],4,FALSE)</f>
        <v>23</v>
      </c>
      <c r="F54" s="161">
        <f t="shared" si="3"/>
        <v>0.23</v>
      </c>
    </row>
    <row r="55" spans="1:6" x14ac:dyDescent="0.25">
      <c r="A55" s="155">
        <v>5</v>
      </c>
      <c r="B55" s="154" t="str">
        <f>VLOOKUP(A55,InsumoMateriales[],2,FALSE)</f>
        <v>ACCESORIOS PVC 2" ESQ 40</v>
      </c>
      <c r="C55" s="154" t="str">
        <f>VLOOKUP(A55,InsumoMateriales[],3,FALSE)</f>
        <v>glb</v>
      </c>
      <c r="D55" s="191">
        <v>0.2</v>
      </c>
      <c r="E55" s="154">
        <f>VLOOKUP(A55,InsumoMateriales[],4,FALSE)</f>
        <v>28.1</v>
      </c>
      <c r="F55" s="161">
        <f t="shared" si="3"/>
        <v>5.62</v>
      </c>
    </row>
    <row r="56" spans="1:6" x14ac:dyDescent="0.25">
      <c r="A56" s="220" t="s">
        <v>264</v>
      </c>
      <c r="B56" s="221"/>
      <c r="C56" s="221"/>
      <c r="D56" s="221"/>
      <c r="E56" s="222"/>
      <c r="F56" s="168">
        <f>ROUND(SUM(F52:F55),2)</f>
        <v>21.07</v>
      </c>
    </row>
    <row r="58" spans="1:6" x14ac:dyDescent="0.25">
      <c r="A58" s="162">
        <v>2</v>
      </c>
      <c r="B58" s="162" t="s">
        <v>265</v>
      </c>
    </row>
    <row r="59" spans="1:6" x14ac:dyDescent="0.25">
      <c r="A59" s="163" t="s">
        <v>259</v>
      </c>
      <c r="B59" s="163" t="s">
        <v>260</v>
      </c>
      <c r="C59" s="163" t="s">
        <v>261</v>
      </c>
      <c r="D59" s="163" t="s">
        <v>16</v>
      </c>
      <c r="E59" s="163" t="s">
        <v>262</v>
      </c>
      <c r="F59" s="165" t="s">
        <v>263</v>
      </c>
    </row>
    <row r="60" spans="1:6" x14ac:dyDescent="0.25">
      <c r="A60" s="155">
        <v>1</v>
      </c>
      <c r="B60" s="154" t="str">
        <f>VLOOKUP(A60,INSUMOSMANODEOBRA[],2,FALSE)</f>
        <v>ALBAÑIL</v>
      </c>
      <c r="C60" s="154" t="str">
        <f>VLOOKUP(A60,INSUMOSMANODEOBRA[],3,FALSE)</f>
        <v>hr</v>
      </c>
      <c r="D60" s="191">
        <v>0.02</v>
      </c>
      <c r="E60" s="154">
        <f>VLOOKUP(A60,INSUMOSMANODEOBRA[],4,FALSE)</f>
        <v>18.75</v>
      </c>
      <c r="F60" s="161">
        <f>ROUND(PRODUCT(D60:E60),2)</f>
        <v>0.38</v>
      </c>
    </row>
    <row r="61" spans="1:6" x14ac:dyDescent="0.25">
      <c r="A61" s="155">
        <v>3</v>
      </c>
      <c r="B61" s="154" t="str">
        <f>VLOOKUP(A61,INSUMOSMANODEOBRA[],2,FALSE)</f>
        <v>AYUDANTE  PLOMERO</v>
      </c>
      <c r="C61" s="154" t="str">
        <f>VLOOKUP(A61,INSUMOSMANODEOBRA[],3,FALSE)</f>
        <v>hr</v>
      </c>
      <c r="D61" s="191">
        <v>0.02</v>
      </c>
      <c r="E61" s="154">
        <f>VLOOKUP(A61,INSUMOSMANODEOBRA[],4,FALSE)</f>
        <v>15</v>
      </c>
      <c r="F61" s="161">
        <f t="shared" ref="F61:F62" si="4">ROUND(PRODUCT(D61:E61),2)</f>
        <v>0.3</v>
      </c>
    </row>
    <row r="62" spans="1:6" x14ac:dyDescent="0.25">
      <c r="A62" s="155">
        <v>6</v>
      </c>
      <c r="B62" s="154" t="str">
        <f>VLOOKUP(A62,INSUMOSMANODEOBRA[],2,FALSE)</f>
        <v>CONTRA MESTRO</v>
      </c>
      <c r="C62" s="154" t="str">
        <f>VLOOKUP(A62,INSUMOSMANODEOBRA[],3,FALSE)</f>
        <v>hr</v>
      </c>
      <c r="D62" s="191">
        <v>0.02</v>
      </c>
      <c r="E62" s="154">
        <f>VLOOKUP(A62,INSUMOSMANODEOBRA[],4,FALSE)</f>
        <v>18.75</v>
      </c>
      <c r="F62" s="161">
        <f t="shared" si="4"/>
        <v>0.38</v>
      </c>
    </row>
    <row r="63" spans="1:6" x14ac:dyDescent="0.25">
      <c r="A63" s="223" t="s">
        <v>266</v>
      </c>
      <c r="B63" s="223"/>
      <c r="C63" s="223"/>
      <c r="D63" s="223"/>
      <c r="E63" s="223"/>
      <c r="F63" s="169">
        <f>ROUND(SUM(F60:F62),2)</f>
        <v>1.06</v>
      </c>
    </row>
    <row r="64" spans="1:6" x14ac:dyDescent="0.25">
      <c r="A64" s="154"/>
      <c r="B64" s="154" t="s">
        <v>267</v>
      </c>
      <c r="D64" s="154" t="s">
        <v>268</v>
      </c>
      <c r="E64" s="166">
        <v>0.55000000000000004</v>
      </c>
      <c r="F64" s="161">
        <f>ROUND(PRODUCT(Subtotalmanodeobra,CargasSociales),2)</f>
        <v>445.5</v>
      </c>
    </row>
    <row r="65" spans="1:6" x14ac:dyDescent="0.25">
      <c r="A65" s="154"/>
      <c r="B65" s="154" t="s">
        <v>269</v>
      </c>
      <c r="D65" s="154" t="s">
        <v>268</v>
      </c>
      <c r="E65" s="167">
        <v>0.14940000000000001</v>
      </c>
      <c r="F65" s="161">
        <f>ROUND(SUM(Subtotalmanodeobra,F64)*E65,2)</f>
        <v>187.57</v>
      </c>
    </row>
    <row r="66" spans="1:6" x14ac:dyDescent="0.25">
      <c r="A66" s="224" t="s">
        <v>270</v>
      </c>
      <c r="B66" s="224"/>
      <c r="C66" s="224"/>
      <c r="D66" s="224"/>
      <c r="E66" s="224"/>
      <c r="F66" s="168">
        <f>ROUND(SUM(F63,F64,F65),2)</f>
        <v>634.13</v>
      </c>
    </row>
    <row r="68" spans="1:6" x14ac:dyDescent="0.25">
      <c r="A68" s="162">
        <v>3</v>
      </c>
      <c r="B68" s="162" t="s">
        <v>271</v>
      </c>
    </row>
    <row r="69" spans="1:6" x14ac:dyDescent="0.25">
      <c r="A69" s="163" t="s">
        <v>259</v>
      </c>
      <c r="B69" s="163" t="s">
        <v>260</v>
      </c>
      <c r="C69" s="163" t="s">
        <v>261</v>
      </c>
      <c r="D69" s="163" t="s">
        <v>16</v>
      </c>
      <c r="E69" s="163" t="s">
        <v>262</v>
      </c>
      <c r="F69" s="165" t="s">
        <v>263</v>
      </c>
    </row>
    <row r="70" spans="1:6" x14ac:dyDescent="0.25">
      <c r="A70" s="155">
        <v>4</v>
      </c>
      <c r="B70" s="154" t="str">
        <f>VLOOKUP(A70,INSUMOEQUIPOYMAQUINARIA[],2,FALSE)</f>
        <v xml:space="preserve">VIBRADORA </v>
      </c>
      <c r="C70" s="154" t="str">
        <f>VLOOKUP(A70,INSUMOEQUIPOYMAQUINARIA[],3,FALSE)</f>
        <v>hrs</v>
      </c>
      <c r="D70" s="191">
        <v>0.02</v>
      </c>
      <c r="E70" s="154">
        <f>VLOOKUP(A70,INSUMOEQUIPOYMAQUINARIA[],4,FALSE)</f>
        <v>18</v>
      </c>
      <c r="F70" s="161">
        <f>ROUND(PRODUCT(D70:E70),2)</f>
        <v>0.36</v>
      </c>
    </row>
    <row r="71" spans="1:6" x14ac:dyDescent="0.25">
      <c r="A71" s="155"/>
      <c r="B71" s="154"/>
      <c r="C71" s="154"/>
      <c r="D71" s="191"/>
      <c r="E71" s="154"/>
      <c r="F71" s="161">
        <f t="shared" ref="F71:F72" si="5">ROUND(PRODUCT(D71:E71),2)</f>
        <v>0</v>
      </c>
    </row>
    <row r="72" spans="1:6" x14ac:dyDescent="0.25">
      <c r="A72" s="154"/>
      <c r="B72" s="154"/>
      <c r="C72" s="154"/>
      <c r="D72" s="154"/>
      <c r="E72" s="154"/>
      <c r="F72" s="161">
        <f t="shared" si="5"/>
        <v>0</v>
      </c>
    </row>
    <row r="73" spans="1:6" x14ac:dyDescent="0.25">
      <c r="A73" s="154" t="s">
        <v>272</v>
      </c>
      <c r="B73" s="154"/>
      <c r="D73" s="154" t="s">
        <v>268</v>
      </c>
      <c r="E73" s="166">
        <v>0.05</v>
      </c>
      <c r="F73" s="161">
        <f>ROUND(PRODUCT(Totalmanodeobra,E73),2)</f>
        <v>72.150000000000006</v>
      </c>
    </row>
    <row r="74" spans="1:6" x14ac:dyDescent="0.25">
      <c r="A74" s="170"/>
      <c r="B74" s="170" t="s">
        <v>273</v>
      </c>
      <c r="C74" s="170"/>
      <c r="D74" s="170"/>
      <c r="E74" s="170"/>
      <c r="F74" s="168">
        <f>ROUND(SUM(F70:F73),2)</f>
        <v>72.510000000000005</v>
      </c>
    </row>
    <row r="76" spans="1:6" x14ac:dyDescent="0.25">
      <c r="A76" s="170">
        <v>4</v>
      </c>
      <c r="B76" s="170" t="s">
        <v>274</v>
      </c>
      <c r="C76" s="170"/>
      <c r="D76" s="170"/>
      <c r="E76" s="170"/>
      <c r="F76" s="168"/>
    </row>
    <row r="77" spans="1:6" x14ac:dyDescent="0.25">
      <c r="A77" s="154"/>
      <c r="B77" s="154"/>
      <c r="C77" s="154" t="s">
        <v>268</v>
      </c>
      <c r="D77" s="166">
        <v>0.15</v>
      </c>
      <c r="E77" s="154" t="s">
        <v>278</v>
      </c>
      <c r="F77" s="161">
        <f>ROUND(SUM(tm,tmo,tem)*D77,2)</f>
        <v>109.16</v>
      </c>
    </row>
    <row r="78" spans="1:6" x14ac:dyDescent="0.25">
      <c r="A78" s="170">
        <v>5</v>
      </c>
      <c r="B78" s="170" t="s">
        <v>275</v>
      </c>
      <c r="C78" s="170"/>
      <c r="D78" s="170"/>
      <c r="E78" s="170"/>
      <c r="F78" s="168"/>
    </row>
    <row r="79" spans="1:6" x14ac:dyDescent="0.25">
      <c r="A79" s="154"/>
      <c r="B79" s="154"/>
      <c r="C79" s="154" t="s">
        <v>268</v>
      </c>
      <c r="D79" s="166">
        <v>0.1</v>
      </c>
      <c r="E79" s="154" t="s">
        <v>279</v>
      </c>
      <c r="F79" s="161">
        <f>ROUND(SUM(tm,tmo,tem,F77)*D79,2)</f>
        <v>83.69</v>
      </c>
    </row>
    <row r="80" spans="1:6" x14ac:dyDescent="0.25">
      <c r="A80" s="170">
        <v>6</v>
      </c>
      <c r="B80" s="170" t="s">
        <v>277</v>
      </c>
      <c r="C80" s="170"/>
      <c r="D80" s="170"/>
      <c r="E80" s="170"/>
      <c r="F80" s="168"/>
    </row>
    <row r="81" spans="1:6" x14ac:dyDescent="0.25">
      <c r="A81" s="154"/>
      <c r="B81" s="154"/>
      <c r="C81" s="154" t="s">
        <v>268</v>
      </c>
      <c r="D81" s="167">
        <v>3.09E-2</v>
      </c>
      <c r="E81" s="154" t="s">
        <v>280</v>
      </c>
      <c r="F81" s="161">
        <f>ROUND(SUM(tm,tm,tem,F77,F79)*D81,2)</f>
        <v>9.5</v>
      </c>
    </row>
    <row r="82" spans="1:6" x14ac:dyDescent="0.25">
      <c r="A82" s="220" t="s">
        <v>276</v>
      </c>
      <c r="B82" s="221"/>
      <c r="C82" s="221"/>
      <c r="D82" s="222"/>
      <c r="E82" s="170" t="s">
        <v>281</v>
      </c>
      <c r="F82" s="168">
        <f>ROUND(SUM(tm+tmo+tem+F77+F79+F81),2)</f>
        <v>930.06</v>
      </c>
    </row>
  </sheetData>
  <mergeCells count="10">
    <mergeCell ref="A1:F1"/>
    <mergeCell ref="A14:E14"/>
    <mergeCell ref="A21:E21"/>
    <mergeCell ref="A24:E24"/>
    <mergeCell ref="A40:D40"/>
    <mergeCell ref="A42:F42"/>
    <mergeCell ref="A56:E56"/>
    <mergeCell ref="A63:E63"/>
    <mergeCell ref="A66:E66"/>
    <mergeCell ref="A82:D8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1"/>
  <sheetViews>
    <sheetView topLeftCell="A79" workbookViewId="0">
      <selection activeCell="D10" sqref="D10"/>
    </sheetView>
  </sheetViews>
  <sheetFormatPr baseColWidth="10" defaultRowHeight="15" x14ac:dyDescent="0.25"/>
  <cols>
    <col min="1" max="1" width="6.85546875" bestFit="1" customWidth="1"/>
    <col min="2" max="2" width="46.28515625" bestFit="1" customWidth="1"/>
    <col min="3" max="3" width="7.7109375" bestFit="1" customWidth="1"/>
    <col min="4" max="4" width="18.85546875" bestFit="1" customWidth="1"/>
    <col min="5" max="5" width="10.5703125" bestFit="1" customWidth="1"/>
    <col min="6" max="6" width="22.42578125" bestFit="1" customWidth="1"/>
    <col min="7" max="7" width="19.85546875" bestFit="1" customWidth="1"/>
    <col min="9" max="9" width="32.7109375" customWidth="1"/>
    <col min="10" max="10" width="21.42578125" customWidth="1"/>
    <col min="11" max="11" width="11.85546875" customWidth="1"/>
    <col min="12" max="12" width="4.28515625" customWidth="1"/>
    <col min="13" max="13" width="5" customWidth="1"/>
    <col min="14" max="14" width="6" customWidth="1"/>
    <col min="15" max="15" width="7" customWidth="1"/>
    <col min="16" max="16" width="2" customWidth="1"/>
    <col min="17" max="17" width="6" customWidth="1"/>
    <col min="18" max="19" width="7" customWidth="1"/>
    <col min="20" max="20" width="6" customWidth="1"/>
    <col min="21" max="21" width="5" customWidth="1"/>
    <col min="22" max="22" width="6" customWidth="1"/>
    <col min="23" max="23" width="8" customWidth="1"/>
    <col min="24" max="24" width="4" customWidth="1"/>
    <col min="25" max="25" width="4.7109375" customWidth="1"/>
    <col min="26" max="26" width="11.85546875" customWidth="1"/>
    <col min="27" max="27" width="19" customWidth="1"/>
    <col min="28" max="28" width="5" customWidth="1"/>
    <col min="29" max="29" width="4" customWidth="1"/>
    <col min="30" max="30" width="21.7109375" customWidth="1"/>
    <col min="31" max="31" width="16.5703125" customWidth="1"/>
    <col min="32" max="32" width="3.28515625" customWidth="1"/>
    <col min="33" max="33" width="19.28515625" customWidth="1"/>
    <col min="34" max="34" width="12.5703125" customWidth="1"/>
    <col min="35" max="35" width="6" customWidth="1"/>
    <col min="36" max="36" width="4.28515625" customWidth="1"/>
    <col min="37" max="37" width="5" customWidth="1"/>
    <col min="38" max="38" width="5.7109375" customWidth="1"/>
    <col min="39" max="39" width="6" customWidth="1"/>
    <col min="40" max="40" width="2" customWidth="1"/>
    <col min="41" max="41" width="5" customWidth="1"/>
    <col min="42" max="43" width="7" customWidth="1"/>
    <col min="44" max="44" width="6" customWidth="1"/>
    <col min="45" max="45" width="5" customWidth="1"/>
    <col min="46" max="46" width="6" customWidth="1"/>
    <col min="47" max="47" width="8" customWidth="1"/>
    <col min="48" max="48" width="4" customWidth="1"/>
    <col min="49" max="49" width="4.7109375" customWidth="1"/>
    <col min="50" max="50" width="15.28515625" customWidth="1"/>
    <col min="51" max="51" width="11.85546875" customWidth="1"/>
    <col min="52" max="52" width="7" customWidth="1"/>
    <col min="53" max="53" width="6" customWidth="1"/>
    <col min="54" max="54" width="5" customWidth="1"/>
    <col min="55" max="55" width="6" customWidth="1"/>
    <col min="56" max="56" width="8" customWidth="1"/>
    <col min="57" max="57" width="4" customWidth="1"/>
    <col min="58" max="58" width="4.7109375" customWidth="1"/>
    <col min="59" max="59" width="13.42578125" customWidth="1"/>
    <col min="60" max="60" width="15.28515625" customWidth="1"/>
    <col min="61" max="61" width="11.85546875" customWidth="1"/>
    <col min="62" max="62" width="11.140625" customWidth="1"/>
    <col min="63" max="63" width="13.7109375" customWidth="1"/>
    <col min="64" max="64" width="8.7109375" customWidth="1"/>
    <col min="65" max="65" width="10.85546875" customWidth="1"/>
    <col min="66" max="66" width="13" customWidth="1"/>
    <col min="67" max="67" width="15.7109375" customWidth="1"/>
    <col min="68" max="68" width="10.5703125" customWidth="1"/>
    <col min="69" max="69" width="13.28515625" customWidth="1"/>
    <col min="70" max="70" width="14.85546875" customWidth="1"/>
    <col min="71" max="71" width="17.7109375" customWidth="1"/>
    <col min="72" max="72" width="8.7109375" customWidth="1"/>
    <col min="73" max="73" width="9.85546875" customWidth="1"/>
    <col min="74" max="74" width="9.5703125" customWidth="1"/>
    <col min="75" max="75" width="12.28515625" customWidth="1"/>
    <col min="76" max="76" width="11.7109375" customWidth="1"/>
    <col min="77" max="77" width="14.28515625" customWidth="1"/>
    <col min="78" max="78" width="14" customWidth="1"/>
    <col min="79" max="79" width="16.7109375" customWidth="1"/>
    <col min="80" max="80" width="8.7109375" customWidth="1"/>
    <col min="81" max="81" width="11.28515625" customWidth="1"/>
    <col min="82" max="82" width="12.5703125" customWidth="1"/>
    <col min="83" max="83" width="15.28515625" customWidth="1"/>
    <col min="84" max="84" width="9.28515625" customWidth="1"/>
    <col min="85" max="85" width="11.85546875" customWidth="1"/>
    <col min="86" max="86" width="10.7109375" customWidth="1"/>
    <col min="87" max="87" width="13.28515625" customWidth="1"/>
    <col min="88" max="88" width="8.7109375" customWidth="1"/>
    <col min="89" max="89" width="11.28515625" customWidth="1"/>
    <col min="90" max="90" width="10.42578125" customWidth="1"/>
    <col min="91" max="91" width="13.140625" customWidth="1"/>
    <col min="92" max="92" width="9.7109375" customWidth="1"/>
    <col min="93" max="93" width="12.42578125" customWidth="1"/>
    <col min="94" max="94" width="15.5703125" customWidth="1"/>
    <col min="95" max="95" width="18.28515625" customWidth="1"/>
    <col min="96" max="96" width="11.7109375" customWidth="1"/>
    <col min="97" max="97" width="14.28515625" customWidth="1"/>
    <col min="98" max="98" width="11" customWidth="1"/>
    <col min="99" max="99" width="13.7109375" customWidth="1"/>
    <col min="100" max="100" width="13.5703125" customWidth="1"/>
    <col min="101" max="101" width="16.28515625" customWidth="1"/>
    <col min="102" max="102" width="11" customWidth="1"/>
    <col min="103" max="103" width="13.7109375" customWidth="1"/>
    <col min="104" max="104" width="8.7109375" customWidth="1"/>
    <col min="105" max="105" width="11.28515625" customWidth="1"/>
    <col min="106" max="106" width="9.42578125" customWidth="1"/>
    <col min="107" max="107" width="12.140625" customWidth="1"/>
    <col min="108" max="108" width="9.5703125" customWidth="1"/>
    <col min="109" max="109" width="12.28515625" customWidth="1"/>
    <col min="110" max="110" width="11.28515625" customWidth="1"/>
    <col min="111" max="111" width="14" customWidth="1"/>
    <col min="112" max="112" width="11.42578125" customWidth="1"/>
    <col min="113" max="113" width="14.140625" customWidth="1"/>
    <col min="114" max="114" width="10.28515625" customWidth="1"/>
    <col min="115" max="115" width="13" customWidth="1"/>
    <col min="116" max="116" width="8.7109375" customWidth="1"/>
    <col min="117" max="118" width="10.42578125" customWidth="1"/>
    <col min="119" max="119" width="13.140625" customWidth="1"/>
    <col min="120" max="120" width="9.42578125" customWidth="1"/>
    <col min="121" max="121" width="12.140625" customWidth="1"/>
    <col min="122" max="122" width="9" customWidth="1"/>
    <col min="123" max="123" width="11.7109375" customWidth="1"/>
    <col min="124" max="124" width="11.5703125" customWidth="1"/>
    <col min="125" max="125" width="14.28515625" customWidth="1"/>
    <col min="126" max="126" width="9.85546875" customWidth="1"/>
    <col min="127" max="127" width="12.5703125" customWidth="1"/>
    <col min="128" max="128" width="12.5703125" bestFit="1" customWidth="1"/>
    <col min="129" max="129" width="15.28515625" customWidth="1"/>
    <col min="130" max="130" width="11.85546875" customWidth="1"/>
    <col min="131" max="131" width="9.28515625" customWidth="1"/>
    <col min="132" max="132" width="8.7109375" customWidth="1"/>
    <col min="133" max="133" width="7.5703125" customWidth="1"/>
    <col min="134" max="134" width="9.28515625" customWidth="1"/>
    <col min="135" max="135" width="9.7109375" customWidth="1"/>
    <col min="136" max="136" width="9.28515625" customWidth="1"/>
    <col min="137" max="137" width="10.28515625" customWidth="1"/>
    <col min="138" max="138" width="9.28515625" customWidth="1"/>
    <col min="139" max="139" width="9.7109375" customWidth="1"/>
    <col min="140" max="140" width="10.28515625" customWidth="1"/>
    <col min="141" max="141" width="7" customWidth="1"/>
    <col min="142" max="142" width="9.28515625" customWidth="1"/>
    <col min="143" max="143" width="10.140625" customWidth="1"/>
    <col min="144" max="144" width="9.7109375" customWidth="1"/>
    <col min="145" max="145" width="7.7109375" customWidth="1"/>
    <col min="146" max="146" width="8" customWidth="1"/>
    <col min="147" max="147" width="10.28515625" customWidth="1"/>
    <col min="148" max="148" width="7" customWidth="1"/>
    <col min="149" max="149" width="9.28515625" customWidth="1"/>
    <col min="150" max="150" width="12" bestFit="1" customWidth="1"/>
    <col min="151" max="151" width="7.7109375" customWidth="1"/>
    <col min="152" max="152" width="8.7109375" customWidth="1"/>
    <col min="153" max="153" width="9.28515625" customWidth="1"/>
    <col min="154" max="154" width="11.7109375" bestFit="1" customWidth="1"/>
    <col min="155" max="155" width="9.28515625" customWidth="1"/>
    <col min="156" max="156" width="7" customWidth="1"/>
    <col min="157" max="157" width="7.28515625" customWidth="1"/>
    <col min="158" max="158" width="9.5703125" customWidth="1"/>
    <col min="159" max="159" width="7.7109375" customWidth="1"/>
    <col min="160" max="160" width="12" bestFit="1" customWidth="1"/>
    <col min="161" max="161" width="9.28515625" customWidth="1"/>
    <col min="162" max="162" width="8.7109375" customWidth="1"/>
    <col min="163" max="163" width="9.28515625" customWidth="1"/>
    <col min="164" max="164" width="11" customWidth="1"/>
    <col min="165" max="165" width="9.28515625" customWidth="1"/>
    <col min="166" max="166" width="8.7109375" customWidth="1"/>
    <col min="167" max="167" width="10.28515625" customWidth="1"/>
    <col min="168" max="168" width="8" customWidth="1"/>
    <col min="169" max="169" width="10.28515625" customWidth="1"/>
    <col min="170" max="170" width="9.28515625" customWidth="1"/>
    <col min="171" max="171" width="10.28515625" customWidth="1"/>
    <col min="172" max="172" width="8" customWidth="1"/>
    <col min="173" max="173" width="10.28515625" customWidth="1"/>
    <col min="174" max="174" width="12.140625" bestFit="1" customWidth="1"/>
    <col min="175" max="175" width="8.7109375" customWidth="1"/>
    <col min="176" max="176" width="8" customWidth="1"/>
    <col min="177" max="177" width="10.28515625" customWidth="1"/>
    <col min="178" max="178" width="8" customWidth="1"/>
    <col min="179" max="179" width="10.28515625" customWidth="1"/>
    <col min="180" max="180" width="12.85546875" bestFit="1" customWidth="1"/>
    <col min="181" max="181" width="10.28515625" customWidth="1"/>
    <col min="182" max="182" width="8" customWidth="1"/>
    <col min="183" max="183" width="10.28515625" customWidth="1"/>
    <col min="184" max="184" width="11.85546875" bestFit="1" customWidth="1"/>
  </cols>
  <sheetData>
    <row r="1" spans="1:11" x14ac:dyDescent="0.25">
      <c r="A1" s="225" t="s">
        <v>282</v>
      </c>
      <c r="B1" s="225"/>
      <c r="C1" s="225"/>
      <c r="D1" s="225"/>
      <c r="E1" s="225"/>
      <c r="F1" s="225"/>
    </row>
    <row r="2" spans="1:11" x14ac:dyDescent="0.25">
      <c r="A2" s="157" t="s">
        <v>259</v>
      </c>
      <c r="B2" s="175" t="s">
        <v>3</v>
      </c>
      <c r="C2" s="175" t="s">
        <v>261</v>
      </c>
      <c r="D2" s="175" t="s">
        <v>284</v>
      </c>
      <c r="E2" s="175" t="s">
        <v>255</v>
      </c>
      <c r="F2" s="156" t="s">
        <v>283</v>
      </c>
      <c r="G2" s="175" t="s">
        <v>285</v>
      </c>
      <c r="I2" s="178" t="s">
        <v>285</v>
      </c>
      <c r="J2" t="s">
        <v>286</v>
      </c>
    </row>
    <row r="3" spans="1:11" x14ac:dyDescent="0.25">
      <c r="A3" s="173">
        <v>1</v>
      </c>
      <c r="B3" s="154" t="s">
        <v>327</v>
      </c>
      <c r="C3" s="154" t="s">
        <v>328</v>
      </c>
      <c r="D3" s="154">
        <v>2.75</v>
      </c>
      <c r="E3" s="159">
        <v>43953</v>
      </c>
      <c r="F3" s="174" t="s">
        <v>329</v>
      </c>
      <c r="G3" s="175"/>
    </row>
    <row r="4" spans="1:11" x14ac:dyDescent="0.25">
      <c r="A4" s="173">
        <v>2</v>
      </c>
      <c r="B4" s="154" t="s">
        <v>330</v>
      </c>
      <c r="C4" s="154" t="s">
        <v>49</v>
      </c>
      <c r="D4" s="154">
        <v>5.8</v>
      </c>
      <c r="E4" s="159">
        <v>43953</v>
      </c>
      <c r="F4" s="174" t="s">
        <v>331</v>
      </c>
      <c r="G4" s="154" t="s">
        <v>286</v>
      </c>
      <c r="I4" s="178" t="s">
        <v>535</v>
      </c>
      <c r="J4" s="178" t="s">
        <v>306</v>
      </c>
    </row>
    <row r="5" spans="1:11" x14ac:dyDescent="0.25">
      <c r="A5" s="173">
        <v>3</v>
      </c>
      <c r="B5" s="154" t="s">
        <v>332</v>
      </c>
      <c r="C5" s="154" t="s">
        <v>328</v>
      </c>
      <c r="D5" s="154">
        <v>61.6</v>
      </c>
      <c r="E5" s="159">
        <v>43953</v>
      </c>
      <c r="F5" s="174" t="s">
        <v>331</v>
      </c>
      <c r="G5" s="154" t="s">
        <v>287</v>
      </c>
      <c r="I5" s="178" t="s">
        <v>307</v>
      </c>
      <c r="J5" t="s">
        <v>49</v>
      </c>
      <c r="K5" t="s">
        <v>308</v>
      </c>
    </row>
    <row r="6" spans="1:11" x14ac:dyDescent="0.25">
      <c r="A6" s="173">
        <v>4</v>
      </c>
      <c r="B6" s="154" t="s">
        <v>333</v>
      </c>
      <c r="C6" s="154" t="s">
        <v>334</v>
      </c>
      <c r="D6" s="154">
        <v>23</v>
      </c>
      <c r="E6" s="159">
        <v>43953</v>
      </c>
      <c r="F6" s="174" t="s">
        <v>335</v>
      </c>
      <c r="G6" s="154" t="s">
        <v>288</v>
      </c>
      <c r="I6" s="179" t="s">
        <v>330</v>
      </c>
      <c r="J6">
        <v>5.8</v>
      </c>
      <c r="K6">
        <v>5.8</v>
      </c>
    </row>
    <row r="7" spans="1:11" x14ac:dyDescent="0.25">
      <c r="A7" s="173">
        <v>5</v>
      </c>
      <c r="B7" s="154" t="s">
        <v>336</v>
      </c>
      <c r="C7" s="154" t="s">
        <v>334</v>
      </c>
      <c r="D7" s="154">
        <v>28.1</v>
      </c>
      <c r="E7" s="159">
        <v>43953</v>
      </c>
      <c r="F7" s="174" t="s">
        <v>337</v>
      </c>
      <c r="G7" s="154" t="s">
        <v>287</v>
      </c>
      <c r="I7" s="179" t="s">
        <v>308</v>
      </c>
      <c r="J7">
        <v>5.8</v>
      </c>
      <c r="K7">
        <v>5.8</v>
      </c>
    </row>
    <row r="8" spans="1:11" x14ac:dyDescent="0.25">
      <c r="A8" s="173">
        <v>6</v>
      </c>
      <c r="B8" s="154" t="s">
        <v>338</v>
      </c>
      <c r="C8" s="154" t="s">
        <v>339</v>
      </c>
      <c r="D8" s="154">
        <v>11.78</v>
      </c>
      <c r="E8" s="159">
        <v>43953</v>
      </c>
      <c r="F8" s="174"/>
      <c r="G8" s="154" t="s">
        <v>289</v>
      </c>
    </row>
    <row r="9" spans="1:11" x14ac:dyDescent="0.25">
      <c r="A9" s="173">
        <v>7</v>
      </c>
      <c r="B9" s="154" t="s">
        <v>340</v>
      </c>
      <c r="C9" s="154" t="s">
        <v>341</v>
      </c>
      <c r="D9" s="154">
        <v>6.8</v>
      </c>
      <c r="E9" s="159">
        <v>43953</v>
      </c>
      <c r="F9" s="174" t="s">
        <v>342</v>
      </c>
      <c r="G9" s="154" t="s">
        <v>290</v>
      </c>
    </row>
    <row r="10" spans="1:11" x14ac:dyDescent="0.25">
      <c r="A10" s="173">
        <v>8</v>
      </c>
      <c r="B10" s="154" t="s">
        <v>343</v>
      </c>
      <c r="C10" s="154" t="s">
        <v>309</v>
      </c>
      <c r="D10" s="154">
        <v>3</v>
      </c>
      <c r="E10" s="159">
        <v>43953</v>
      </c>
      <c r="F10" s="174" t="s">
        <v>342</v>
      </c>
      <c r="G10" s="154" t="s">
        <v>291</v>
      </c>
    </row>
    <row r="11" spans="1:11" x14ac:dyDescent="0.25">
      <c r="A11" s="173">
        <v>9</v>
      </c>
      <c r="B11" s="154" t="s">
        <v>344</v>
      </c>
      <c r="C11" s="154" t="s">
        <v>341</v>
      </c>
      <c r="D11" s="154">
        <v>13.8</v>
      </c>
      <c r="E11" s="159">
        <v>43953</v>
      </c>
      <c r="F11" s="174"/>
      <c r="G11" s="154" t="s">
        <v>292</v>
      </c>
    </row>
    <row r="12" spans="1:11" x14ac:dyDescent="0.25">
      <c r="A12" s="173">
        <v>10</v>
      </c>
      <c r="B12" s="154" t="s">
        <v>345</v>
      </c>
      <c r="C12" s="154" t="s">
        <v>311</v>
      </c>
      <c r="D12" s="154">
        <v>60</v>
      </c>
      <c r="E12" s="159">
        <v>43953</v>
      </c>
      <c r="F12" s="174" t="s">
        <v>346</v>
      </c>
      <c r="G12" s="154" t="s">
        <v>292</v>
      </c>
    </row>
    <row r="13" spans="1:11" x14ac:dyDescent="0.25">
      <c r="A13" s="173">
        <v>11</v>
      </c>
      <c r="B13" s="154" t="s">
        <v>347</v>
      </c>
      <c r="C13" s="154" t="s">
        <v>311</v>
      </c>
      <c r="D13" s="154">
        <v>71.099999999999994</v>
      </c>
      <c r="E13" s="159">
        <v>43953</v>
      </c>
      <c r="F13" s="174" t="s">
        <v>346</v>
      </c>
      <c r="G13" s="154" t="s">
        <v>291</v>
      </c>
    </row>
    <row r="14" spans="1:11" x14ac:dyDescent="0.25">
      <c r="A14" s="173">
        <v>12</v>
      </c>
      <c r="B14" s="154" t="s">
        <v>348</v>
      </c>
      <c r="C14" s="154" t="s">
        <v>49</v>
      </c>
      <c r="D14" s="154">
        <v>5.6</v>
      </c>
      <c r="E14" s="159">
        <v>43953</v>
      </c>
      <c r="F14" s="174" t="s">
        <v>349</v>
      </c>
      <c r="G14" s="154" t="s">
        <v>291</v>
      </c>
    </row>
    <row r="15" spans="1:11" x14ac:dyDescent="0.25">
      <c r="A15" s="173">
        <v>13</v>
      </c>
      <c r="B15" s="154" t="s">
        <v>350</v>
      </c>
      <c r="C15" s="154" t="s">
        <v>35</v>
      </c>
      <c r="D15" s="154">
        <v>1.9</v>
      </c>
      <c r="E15" s="159">
        <v>43953</v>
      </c>
      <c r="F15" s="174" t="s">
        <v>351</v>
      </c>
      <c r="G15" s="154" t="s">
        <v>293</v>
      </c>
    </row>
    <row r="16" spans="1:11" x14ac:dyDescent="0.25">
      <c r="A16" s="173">
        <v>14</v>
      </c>
      <c r="B16" s="154" t="s">
        <v>352</v>
      </c>
      <c r="C16" s="154" t="s">
        <v>35</v>
      </c>
      <c r="D16" s="154">
        <v>5.8</v>
      </c>
      <c r="E16" s="159">
        <v>43953</v>
      </c>
      <c r="F16" s="174" t="s">
        <v>351</v>
      </c>
      <c r="G16" s="154" t="s">
        <v>293</v>
      </c>
    </row>
    <row r="17" spans="1:7" x14ac:dyDescent="0.25">
      <c r="A17" s="173">
        <v>15</v>
      </c>
      <c r="B17" s="154" t="s">
        <v>353</v>
      </c>
      <c r="C17" s="154" t="s">
        <v>35</v>
      </c>
      <c r="D17" s="154">
        <v>1.21</v>
      </c>
      <c r="E17" s="159">
        <v>43953</v>
      </c>
      <c r="F17" s="174" t="s">
        <v>351</v>
      </c>
      <c r="G17" s="154" t="s">
        <v>290</v>
      </c>
    </row>
    <row r="18" spans="1:7" x14ac:dyDescent="0.25">
      <c r="A18" s="153">
        <v>16</v>
      </c>
      <c r="B18" s="176" t="s">
        <v>354</v>
      </c>
      <c r="C18" s="176" t="s">
        <v>35</v>
      </c>
      <c r="D18" s="176">
        <v>1.76</v>
      </c>
      <c r="E18" s="159">
        <v>43953</v>
      </c>
      <c r="F18" s="152" t="s">
        <v>351</v>
      </c>
      <c r="G18" s="154" t="s">
        <v>294</v>
      </c>
    </row>
    <row r="19" spans="1:7" x14ac:dyDescent="0.25">
      <c r="A19" s="153">
        <v>17</v>
      </c>
      <c r="B19" s="176" t="s">
        <v>355</v>
      </c>
      <c r="C19" s="176" t="s">
        <v>49</v>
      </c>
      <c r="D19" s="176">
        <v>5.72</v>
      </c>
      <c r="E19" s="159">
        <v>43953</v>
      </c>
      <c r="F19" s="152" t="s">
        <v>351</v>
      </c>
      <c r="G19" s="154" t="s">
        <v>294</v>
      </c>
    </row>
    <row r="20" spans="1:7" x14ac:dyDescent="0.25">
      <c r="A20" s="173">
        <v>18</v>
      </c>
      <c r="B20" s="154" t="s">
        <v>356</v>
      </c>
      <c r="C20" s="154" t="s">
        <v>49</v>
      </c>
      <c r="D20" s="154">
        <v>5.39</v>
      </c>
      <c r="E20" s="159">
        <v>43953</v>
      </c>
      <c r="F20" s="174" t="s">
        <v>351</v>
      </c>
      <c r="G20" s="154"/>
    </row>
    <row r="21" spans="1:7" x14ac:dyDescent="0.25">
      <c r="A21" s="173">
        <v>19</v>
      </c>
      <c r="B21" s="154" t="s">
        <v>357</v>
      </c>
      <c r="C21" s="154" t="s">
        <v>49</v>
      </c>
      <c r="D21" s="154">
        <v>1.1000000000000001</v>
      </c>
      <c r="E21" s="159">
        <v>43953</v>
      </c>
      <c r="F21" s="174" t="s">
        <v>351</v>
      </c>
      <c r="G21" s="154"/>
    </row>
    <row r="22" spans="1:7" x14ac:dyDescent="0.25">
      <c r="A22" s="173">
        <v>20</v>
      </c>
      <c r="B22" s="154" t="s">
        <v>358</v>
      </c>
      <c r="C22" s="154" t="s">
        <v>341</v>
      </c>
      <c r="D22" s="154">
        <v>0.4</v>
      </c>
      <c r="E22" s="159">
        <v>43953</v>
      </c>
      <c r="F22" s="174"/>
      <c r="G22" s="154"/>
    </row>
    <row r="23" spans="1:7" x14ac:dyDescent="0.25">
      <c r="A23" s="173">
        <v>21</v>
      </c>
      <c r="B23" s="154" t="s">
        <v>359</v>
      </c>
      <c r="C23" s="154" t="s">
        <v>309</v>
      </c>
      <c r="D23" s="154">
        <v>50.2</v>
      </c>
      <c r="E23" s="159">
        <v>43953</v>
      </c>
      <c r="F23" s="174" t="s">
        <v>360</v>
      </c>
      <c r="G23" s="154"/>
    </row>
    <row r="24" spans="1:7" x14ac:dyDescent="0.25">
      <c r="A24" s="173">
        <v>22</v>
      </c>
      <c r="B24" s="154" t="s">
        <v>361</v>
      </c>
      <c r="C24" s="154" t="s">
        <v>309</v>
      </c>
      <c r="D24" s="154">
        <v>25.2</v>
      </c>
      <c r="E24" s="159">
        <v>43953</v>
      </c>
      <c r="F24" s="174" t="s">
        <v>360</v>
      </c>
      <c r="G24" s="154"/>
    </row>
    <row r="25" spans="1:7" x14ac:dyDescent="0.25">
      <c r="A25" s="173">
        <v>23</v>
      </c>
      <c r="B25" s="154" t="s">
        <v>362</v>
      </c>
      <c r="C25" s="154" t="s">
        <v>309</v>
      </c>
      <c r="D25" s="154">
        <v>26.4</v>
      </c>
      <c r="E25" s="159">
        <v>43953</v>
      </c>
      <c r="F25" s="174" t="s">
        <v>360</v>
      </c>
      <c r="G25" s="154"/>
    </row>
    <row r="26" spans="1:7" x14ac:dyDescent="0.25">
      <c r="A26" s="173">
        <v>24</v>
      </c>
      <c r="B26" s="154" t="s">
        <v>363</v>
      </c>
      <c r="C26" s="154" t="s">
        <v>309</v>
      </c>
      <c r="D26" s="154">
        <v>28.8</v>
      </c>
      <c r="E26" s="159">
        <v>43953</v>
      </c>
      <c r="F26" s="174"/>
      <c r="G26" s="154"/>
    </row>
    <row r="27" spans="1:7" x14ac:dyDescent="0.25">
      <c r="A27" s="173">
        <v>25</v>
      </c>
      <c r="B27" s="154" t="s">
        <v>364</v>
      </c>
      <c r="C27" s="154" t="s">
        <v>341</v>
      </c>
      <c r="D27" s="154">
        <v>0.9</v>
      </c>
      <c r="E27" s="159">
        <v>43953</v>
      </c>
      <c r="F27" s="174" t="s">
        <v>365</v>
      </c>
      <c r="G27" s="154"/>
    </row>
    <row r="28" spans="1:7" x14ac:dyDescent="0.25">
      <c r="A28" s="173">
        <v>26</v>
      </c>
      <c r="B28" s="154" t="s">
        <v>366</v>
      </c>
      <c r="C28" s="154" t="s">
        <v>341</v>
      </c>
      <c r="D28" s="154">
        <v>3.7</v>
      </c>
      <c r="E28" s="159">
        <v>43953</v>
      </c>
      <c r="F28" s="174" t="s">
        <v>365</v>
      </c>
      <c r="G28" s="154"/>
    </row>
    <row r="29" spans="1:7" x14ac:dyDescent="0.25">
      <c r="A29" s="173">
        <v>27</v>
      </c>
      <c r="B29" s="154" t="s">
        <v>367</v>
      </c>
      <c r="C29" s="154" t="s">
        <v>341</v>
      </c>
      <c r="D29" s="154">
        <v>1.1000000000000001</v>
      </c>
      <c r="E29" s="159">
        <v>43953</v>
      </c>
      <c r="F29" s="174" t="s">
        <v>365</v>
      </c>
      <c r="G29" s="154"/>
    </row>
    <row r="30" spans="1:7" x14ac:dyDescent="0.25">
      <c r="A30" s="173">
        <v>28</v>
      </c>
      <c r="B30" s="154" t="s">
        <v>368</v>
      </c>
      <c r="C30" s="154" t="s">
        <v>341</v>
      </c>
      <c r="D30" s="154">
        <v>1.06</v>
      </c>
      <c r="E30" s="159">
        <v>43953</v>
      </c>
      <c r="F30" s="174" t="s">
        <v>365</v>
      </c>
      <c r="G30" s="154"/>
    </row>
    <row r="31" spans="1:7" x14ac:dyDescent="0.25">
      <c r="A31" s="173">
        <v>29</v>
      </c>
      <c r="B31" s="154" t="s">
        <v>369</v>
      </c>
      <c r="C31" s="154" t="s">
        <v>341</v>
      </c>
      <c r="D31" s="154">
        <v>1</v>
      </c>
      <c r="E31" s="159">
        <v>43953</v>
      </c>
      <c r="F31" s="174" t="s">
        <v>365</v>
      </c>
      <c r="G31" s="154"/>
    </row>
    <row r="32" spans="1:7" x14ac:dyDescent="0.25">
      <c r="A32" s="173">
        <v>30</v>
      </c>
      <c r="B32" s="154" t="s">
        <v>370</v>
      </c>
      <c r="C32" s="154" t="s">
        <v>309</v>
      </c>
      <c r="D32" s="154">
        <v>54</v>
      </c>
      <c r="E32" s="159">
        <v>43953</v>
      </c>
      <c r="F32" s="174" t="s">
        <v>371</v>
      </c>
      <c r="G32" s="154"/>
    </row>
    <row r="33" spans="1:7" x14ac:dyDescent="0.25">
      <c r="A33" s="173">
        <v>31</v>
      </c>
      <c r="B33" s="154" t="s">
        <v>372</v>
      </c>
      <c r="C33" s="154" t="s">
        <v>49</v>
      </c>
      <c r="D33" s="154">
        <v>3.6</v>
      </c>
      <c r="E33" s="159">
        <v>43953</v>
      </c>
      <c r="F33" s="174" t="s">
        <v>373</v>
      </c>
      <c r="G33" s="154"/>
    </row>
    <row r="34" spans="1:7" x14ac:dyDescent="0.25">
      <c r="A34" s="173">
        <v>32</v>
      </c>
      <c r="B34" s="154" t="s">
        <v>373</v>
      </c>
      <c r="C34" s="154" t="s">
        <v>49</v>
      </c>
      <c r="D34" s="154">
        <v>19.5</v>
      </c>
      <c r="E34" s="159">
        <v>43953</v>
      </c>
      <c r="F34" s="174" t="s">
        <v>373</v>
      </c>
      <c r="G34" s="154"/>
    </row>
    <row r="35" spans="1:7" x14ac:dyDescent="0.25">
      <c r="A35" s="173">
        <v>33</v>
      </c>
      <c r="B35" s="154" t="s">
        <v>374</v>
      </c>
      <c r="C35" s="154" t="s">
        <v>375</v>
      </c>
      <c r="D35" s="154">
        <v>3.7</v>
      </c>
      <c r="E35" s="159">
        <v>43953</v>
      </c>
      <c r="F35" s="174" t="s">
        <v>376</v>
      </c>
      <c r="G35" s="154"/>
    </row>
    <row r="36" spans="1:7" x14ac:dyDescent="0.25">
      <c r="A36" s="173">
        <v>34</v>
      </c>
      <c r="B36" s="154" t="s">
        <v>377</v>
      </c>
      <c r="C36" s="154" t="s">
        <v>341</v>
      </c>
      <c r="D36" s="154">
        <v>13.8</v>
      </c>
      <c r="E36" s="159">
        <v>43953</v>
      </c>
      <c r="F36" s="174" t="s">
        <v>378</v>
      </c>
      <c r="G36" s="154"/>
    </row>
    <row r="37" spans="1:7" x14ac:dyDescent="0.25">
      <c r="A37" s="173">
        <v>35</v>
      </c>
      <c r="B37" s="154" t="s">
        <v>378</v>
      </c>
      <c r="C37" s="154" t="s">
        <v>341</v>
      </c>
      <c r="D37" s="154">
        <v>7</v>
      </c>
      <c r="E37" s="159">
        <v>43953</v>
      </c>
      <c r="F37" s="174" t="s">
        <v>378</v>
      </c>
      <c r="G37" s="154"/>
    </row>
    <row r="38" spans="1:7" x14ac:dyDescent="0.25">
      <c r="A38" s="173">
        <v>36</v>
      </c>
      <c r="B38" s="154" t="s">
        <v>379</v>
      </c>
      <c r="C38" s="154" t="s">
        <v>341</v>
      </c>
      <c r="D38" s="154">
        <v>6.4</v>
      </c>
      <c r="E38" s="159">
        <v>43953</v>
      </c>
      <c r="F38" s="174" t="s">
        <v>380</v>
      </c>
      <c r="G38" s="154"/>
    </row>
    <row r="39" spans="1:7" x14ac:dyDescent="0.25">
      <c r="A39" s="173">
        <v>37</v>
      </c>
      <c r="B39" s="154" t="s">
        <v>381</v>
      </c>
      <c r="C39" s="154" t="s">
        <v>341</v>
      </c>
      <c r="D39" s="154">
        <v>0.5</v>
      </c>
      <c r="E39" s="159">
        <v>43953</v>
      </c>
      <c r="F39" s="174" t="s">
        <v>382</v>
      </c>
      <c r="G39" s="154"/>
    </row>
    <row r="40" spans="1:7" x14ac:dyDescent="0.25">
      <c r="A40" s="173">
        <v>38</v>
      </c>
      <c r="B40" s="154" t="s">
        <v>383</v>
      </c>
      <c r="C40" s="154" t="s">
        <v>341</v>
      </c>
      <c r="D40" s="154">
        <v>0.1</v>
      </c>
      <c r="E40" s="159">
        <v>43953</v>
      </c>
      <c r="F40" s="174" t="s">
        <v>382</v>
      </c>
      <c r="G40" s="154"/>
    </row>
    <row r="41" spans="1:7" x14ac:dyDescent="0.25">
      <c r="A41" s="173">
        <v>39</v>
      </c>
      <c r="B41" s="154" t="s">
        <v>384</v>
      </c>
      <c r="C41" s="154" t="s">
        <v>341</v>
      </c>
      <c r="D41" s="154">
        <v>0.4</v>
      </c>
      <c r="E41" s="159">
        <v>43953</v>
      </c>
      <c r="F41" s="174" t="s">
        <v>382</v>
      </c>
      <c r="G41" s="154"/>
    </row>
    <row r="42" spans="1:7" x14ac:dyDescent="0.25">
      <c r="A42" s="173">
        <v>40</v>
      </c>
      <c r="B42" s="154" t="s">
        <v>385</v>
      </c>
      <c r="C42" s="154" t="s">
        <v>341</v>
      </c>
      <c r="D42" s="154">
        <v>6.5</v>
      </c>
      <c r="E42" s="159">
        <v>43953</v>
      </c>
      <c r="F42" s="174" t="s">
        <v>386</v>
      </c>
      <c r="G42" s="154"/>
    </row>
    <row r="43" spans="1:7" x14ac:dyDescent="0.25">
      <c r="A43" s="173">
        <v>41</v>
      </c>
      <c r="B43" s="154" t="s">
        <v>387</v>
      </c>
      <c r="C43" s="154" t="s">
        <v>49</v>
      </c>
      <c r="D43" s="154">
        <v>2.9</v>
      </c>
      <c r="E43" s="159">
        <v>43953</v>
      </c>
      <c r="F43" s="174" t="s">
        <v>388</v>
      </c>
      <c r="G43" s="154"/>
    </row>
    <row r="44" spans="1:7" x14ac:dyDescent="0.25">
      <c r="A44" s="173">
        <v>42</v>
      </c>
      <c r="B44" s="154" t="s">
        <v>389</v>
      </c>
      <c r="C44" s="154" t="s">
        <v>311</v>
      </c>
      <c r="D44" s="154">
        <v>65</v>
      </c>
      <c r="E44" s="159">
        <v>43953</v>
      </c>
      <c r="F44" s="174" t="s">
        <v>390</v>
      </c>
      <c r="G44" s="154"/>
    </row>
    <row r="45" spans="1:7" x14ac:dyDescent="0.25">
      <c r="A45" s="173">
        <v>43</v>
      </c>
      <c r="B45" s="154" t="s">
        <v>390</v>
      </c>
      <c r="C45" s="154" t="s">
        <v>311</v>
      </c>
      <c r="D45" s="154">
        <v>120.6</v>
      </c>
      <c r="E45" s="159">
        <v>43953</v>
      </c>
      <c r="F45" s="174" t="s">
        <v>390</v>
      </c>
      <c r="G45" s="154"/>
    </row>
    <row r="46" spans="1:7" x14ac:dyDescent="0.25">
      <c r="A46" s="173">
        <v>44</v>
      </c>
      <c r="B46" s="154" t="s">
        <v>391</v>
      </c>
      <c r="C46" s="154" t="s">
        <v>49</v>
      </c>
      <c r="D46" s="154">
        <v>40.299999999999997</v>
      </c>
      <c r="E46" s="159">
        <v>43953</v>
      </c>
      <c r="F46" s="174" t="s">
        <v>392</v>
      </c>
      <c r="G46" s="154"/>
    </row>
    <row r="47" spans="1:7" x14ac:dyDescent="0.25">
      <c r="A47" s="173">
        <v>45</v>
      </c>
      <c r="B47" s="154" t="s">
        <v>393</v>
      </c>
      <c r="C47" s="154" t="s">
        <v>49</v>
      </c>
      <c r="D47" s="154">
        <v>298.60000000000002</v>
      </c>
      <c r="E47" s="159">
        <v>43953</v>
      </c>
      <c r="F47" s="174" t="s">
        <v>394</v>
      </c>
      <c r="G47" s="154"/>
    </row>
    <row r="48" spans="1:7" x14ac:dyDescent="0.25">
      <c r="A48" s="173">
        <v>46</v>
      </c>
      <c r="B48" s="154" t="s">
        <v>395</v>
      </c>
      <c r="C48" s="154" t="s">
        <v>396</v>
      </c>
      <c r="D48" s="154">
        <v>4</v>
      </c>
      <c r="E48" s="159">
        <v>43953</v>
      </c>
      <c r="F48" s="174" t="s">
        <v>395</v>
      </c>
      <c r="G48" s="154"/>
    </row>
    <row r="49" spans="1:7" x14ac:dyDescent="0.25">
      <c r="A49" s="173">
        <v>47</v>
      </c>
      <c r="B49" s="154" t="s">
        <v>397</v>
      </c>
      <c r="C49" s="154" t="s">
        <v>49</v>
      </c>
      <c r="D49" s="154">
        <v>0.6</v>
      </c>
      <c r="E49" s="159">
        <v>43953</v>
      </c>
      <c r="F49" s="174" t="s">
        <v>398</v>
      </c>
      <c r="G49" s="154"/>
    </row>
    <row r="50" spans="1:7" x14ac:dyDescent="0.25">
      <c r="A50" s="173">
        <v>48</v>
      </c>
      <c r="B50" s="154" t="s">
        <v>399</v>
      </c>
      <c r="C50" s="154" t="s">
        <v>49</v>
      </c>
      <c r="D50" s="154">
        <v>0.8</v>
      </c>
      <c r="E50" s="159">
        <v>43953</v>
      </c>
      <c r="F50" s="174" t="s">
        <v>398</v>
      </c>
      <c r="G50" s="154"/>
    </row>
    <row r="51" spans="1:7" x14ac:dyDescent="0.25">
      <c r="A51" s="173">
        <v>49</v>
      </c>
      <c r="B51" s="154" t="s">
        <v>400</v>
      </c>
      <c r="C51" s="154" t="s">
        <v>49</v>
      </c>
      <c r="D51" s="154">
        <v>0.6</v>
      </c>
      <c r="E51" s="159">
        <v>43953</v>
      </c>
      <c r="F51" s="174" t="s">
        <v>398</v>
      </c>
      <c r="G51" s="154"/>
    </row>
    <row r="52" spans="1:7" x14ac:dyDescent="0.25">
      <c r="A52" s="173">
        <v>50</v>
      </c>
      <c r="B52" s="154" t="s">
        <v>401</v>
      </c>
      <c r="C52" s="154" t="s">
        <v>49</v>
      </c>
      <c r="D52" s="154">
        <v>36.200000000000003</v>
      </c>
      <c r="E52" s="159">
        <v>43953</v>
      </c>
      <c r="F52" s="174" t="s">
        <v>402</v>
      </c>
      <c r="G52" s="154"/>
    </row>
    <row r="53" spans="1:7" x14ac:dyDescent="0.25">
      <c r="A53" s="173">
        <v>51</v>
      </c>
      <c r="B53" s="154" t="s">
        <v>403</v>
      </c>
      <c r="C53" s="154" t="s">
        <v>49</v>
      </c>
      <c r="D53" s="154">
        <v>437</v>
      </c>
      <c r="E53" s="159">
        <v>43953</v>
      </c>
      <c r="F53" s="174" t="s">
        <v>404</v>
      </c>
      <c r="G53" s="154"/>
    </row>
    <row r="54" spans="1:7" x14ac:dyDescent="0.25">
      <c r="A54" s="173">
        <v>52</v>
      </c>
      <c r="B54" s="154" t="s">
        <v>405</v>
      </c>
      <c r="C54" s="154" t="s">
        <v>406</v>
      </c>
      <c r="D54" s="154">
        <v>1.02</v>
      </c>
      <c r="E54" s="159">
        <v>43953</v>
      </c>
      <c r="F54" s="174" t="s">
        <v>407</v>
      </c>
      <c r="G54" s="154"/>
    </row>
    <row r="55" spans="1:7" x14ac:dyDescent="0.25">
      <c r="A55" s="173">
        <v>53</v>
      </c>
      <c r="B55" s="154" t="s">
        <v>408</v>
      </c>
      <c r="C55" s="154" t="s">
        <v>409</v>
      </c>
      <c r="D55" s="154">
        <v>1.43</v>
      </c>
      <c r="E55" s="159">
        <v>43953</v>
      </c>
      <c r="F55" s="174" t="s">
        <v>407</v>
      </c>
      <c r="G55" s="154"/>
    </row>
    <row r="56" spans="1:7" x14ac:dyDescent="0.25">
      <c r="A56" s="173">
        <v>54</v>
      </c>
      <c r="B56" s="154" t="s">
        <v>410</v>
      </c>
      <c r="C56" s="154" t="s">
        <v>411</v>
      </c>
      <c r="D56" s="154">
        <v>0.1</v>
      </c>
      <c r="E56" s="159">
        <v>43953</v>
      </c>
      <c r="F56" s="174" t="s">
        <v>412</v>
      </c>
      <c r="G56" s="154"/>
    </row>
    <row r="57" spans="1:7" x14ac:dyDescent="0.25">
      <c r="A57" s="173">
        <v>55</v>
      </c>
      <c r="B57" s="154" t="s">
        <v>413</v>
      </c>
      <c r="C57" s="154" t="s">
        <v>414</v>
      </c>
      <c r="D57" s="154">
        <v>0.6</v>
      </c>
      <c r="E57" s="159">
        <v>43953</v>
      </c>
      <c r="F57" s="174" t="s">
        <v>415</v>
      </c>
      <c r="G57" s="154"/>
    </row>
    <row r="58" spans="1:7" x14ac:dyDescent="0.25">
      <c r="A58" s="173">
        <v>56</v>
      </c>
      <c r="B58" s="154" t="s">
        <v>416</v>
      </c>
      <c r="C58" s="154" t="s">
        <v>49</v>
      </c>
      <c r="D58" s="154">
        <v>57.4</v>
      </c>
      <c r="E58" s="159">
        <v>43953</v>
      </c>
      <c r="F58" s="174" t="s">
        <v>417</v>
      </c>
      <c r="G58" s="154"/>
    </row>
    <row r="59" spans="1:7" x14ac:dyDescent="0.25">
      <c r="A59" s="173">
        <v>57</v>
      </c>
      <c r="B59" s="154" t="s">
        <v>418</v>
      </c>
      <c r="C59" s="154" t="s">
        <v>49</v>
      </c>
      <c r="D59" s="154">
        <v>80.5</v>
      </c>
      <c r="E59" s="159">
        <v>43953</v>
      </c>
      <c r="F59" s="174" t="s">
        <v>419</v>
      </c>
      <c r="G59" s="154"/>
    </row>
    <row r="60" spans="1:7" x14ac:dyDescent="0.25">
      <c r="A60" s="173">
        <v>58</v>
      </c>
      <c r="B60" s="154" t="s">
        <v>420</v>
      </c>
      <c r="C60" s="154" t="s">
        <v>414</v>
      </c>
      <c r="D60" s="154">
        <v>8</v>
      </c>
      <c r="E60" s="159">
        <v>43953</v>
      </c>
      <c r="F60" s="174" t="s">
        <v>421</v>
      </c>
      <c r="G60" s="154"/>
    </row>
    <row r="61" spans="1:7" x14ac:dyDescent="0.25">
      <c r="A61" s="173">
        <v>59</v>
      </c>
      <c r="B61" s="154" t="s">
        <v>422</v>
      </c>
      <c r="C61" s="154" t="s">
        <v>414</v>
      </c>
      <c r="D61" s="154">
        <v>4</v>
      </c>
      <c r="E61" s="159">
        <v>43953</v>
      </c>
      <c r="F61" s="174" t="s">
        <v>421</v>
      </c>
      <c r="G61" s="154"/>
    </row>
    <row r="62" spans="1:7" x14ac:dyDescent="0.25">
      <c r="A62" s="173">
        <v>60</v>
      </c>
      <c r="B62" s="154" t="s">
        <v>423</v>
      </c>
      <c r="C62" s="154" t="s">
        <v>49</v>
      </c>
      <c r="D62" s="154">
        <v>533.6</v>
      </c>
      <c r="E62" s="159">
        <v>43953</v>
      </c>
      <c r="F62" s="174" t="s">
        <v>424</v>
      </c>
      <c r="G62" s="154"/>
    </row>
    <row r="63" spans="1:7" x14ac:dyDescent="0.25">
      <c r="A63" s="173">
        <v>61</v>
      </c>
      <c r="B63" s="154" t="s">
        <v>425</v>
      </c>
      <c r="C63" s="154" t="s">
        <v>341</v>
      </c>
      <c r="D63" s="154">
        <v>1.3</v>
      </c>
      <c r="E63" s="159">
        <v>43953</v>
      </c>
      <c r="F63" s="174" t="s">
        <v>425</v>
      </c>
      <c r="G63" s="154"/>
    </row>
    <row r="64" spans="1:7" x14ac:dyDescent="0.25">
      <c r="A64" s="173">
        <v>62</v>
      </c>
      <c r="B64" s="154" t="s">
        <v>426</v>
      </c>
      <c r="C64" s="154" t="s">
        <v>309</v>
      </c>
      <c r="D64" s="154">
        <v>40.299999999999997</v>
      </c>
      <c r="E64" s="159">
        <v>43953</v>
      </c>
      <c r="F64" s="174" t="s">
        <v>427</v>
      </c>
      <c r="G64" s="154"/>
    </row>
    <row r="65" spans="1:7" x14ac:dyDescent="0.25">
      <c r="A65" s="173">
        <v>63</v>
      </c>
      <c r="B65" s="154" t="s">
        <v>428</v>
      </c>
      <c r="C65" s="154" t="s">
        <v>429</v>
      </c>
      <c r="D65" s="154">
        <v>54</v>
      </c>
      <c r="E65" s="159">
        <v>43953</v>
      </c>
      <c r="F65" s="174" t="s">
        <v>430</v>
      </c>
      <c r="G65" s="154"/>
    </row>
    <row r="66" spans="1:7" x14ac:dyDescent="0.25">
      <c r="A66" s="173">
        <v>64</v>
      </c>
      <c r="B66" s="154" t="s">
        <v>431</v>
      </c>
      <c r="C66" s="154" t="s">
        <v>432</v>
      </c>
      <c r="D66" s="154">
        <v>37.9</v>
      </c>
      <c r="E66" s="159">
        <v>43953</v>
      </c>
      <c r="F66" s="174" t="s">
        <v>433</v>
      </c>
      <c r="G66" s="154"/>
    </row>
    <row r="67" spans="1:7" x14ac:dyDescent="0.25">
      <c r="A67" s="173">
        <v>65</v>
      </c>
      <c r="B67" s="154" t="s">
        <v>434</v>
      </c>
      <c r="C67" s="154" t="s">
        <v>341</v>
      </c>
      <c r="D67" s="154">
        <v>30.1</v>
      </c>
      <c r="E67" s="159">
        <v>43953</v>
      </c>
      <c r="F67" s="174" t="s">
        <v>433</v>
      </c>
      <c r="G67" s="154"/>
    </row>
    <row r="68" spans="1:7" x14ac:dyDescent="0.25">
      <c r="A68" s="173">
        <v>66</v>
      </c>
      <c r="B68" s="154" t="s">
        <v>435</v>
      </c>
      <c r="C68" s="154" t="s">
        <v>35</v>
      </c>
      <c r="D68" s="154">
        <v>373.8</v>
      </c>
      <c r="E68" s="159">
        <v>43953</v>
      </c>
      <c r="F68" s="174" t="s">
        <v>436</v>
      </c>
      <c r="G68" s="154"/>
    </row>
    <row r="69" spans="1:7" x14ac:dyDescent="0.25">
      <c r="A69" s="173">
        <v>67</v>
      </c>
      <c r="B69" s="154" t="s">
        <v>437</v>
      </c>
      <c r="C69" s="154" t="s">
        <v>49</v>
      </c>
      <c r="D69" s="154">
        <v>14.1</v>
      </c>
      <c r="E69" s="159">
        <v>43953</v>
      </c>
      <c r="F69" s="174" t="s">
        <v>438</v>
      </c>
      <c r="G69" s="154"/>
    </row>
    <row r="70" spans="1:7" x14ac:dyDescent="0.25">
      <c r="A70" s="173">
        <v>68</v>
      </c>
      <c r="B70" s="154" t="s">
        <v>439</v>
      </c>
      <c r="C70" s="154" t="s">
        <v>311</v>
      </c>
      <c r="D70" s="154">
        <v>65</v>
      </c>
      <c r="E70" s="159">
        <v>43953</v>
      </c>
      <c r="F70" s="174" t="s">
        <v>440</v>
      </c>
      <c r="G70" s="154"/>
    </row>
    <row r="71" spans="1:7" x14ac:dyDescent="0.25">
      <c r="A71" s="173">
        <v>69</v>
      </c>
      <c r="B71" s="154" t="s">
        <v>441</v>
      </c>
      <c r="C71" s="154" t="s">
        <v>311</v>
      </c>
      <c r="D71" s="154">
        <v>65</v>
      </c>
      <c r="E71" s="159">
        <v>43953</v>
      </c>
      <c r="F71" s="174" t="s">
        <v>440</v>
      </c>
      <c r="G71" s="154"/>
    </row>
    <row r="72" spans="1:7" x14ac:dyDescent="0.25">
      <c r="A72" s="173">
        <v>70</v>
      </c>
      <c r="B72" s="154" t="s">
        <v>442</v>
      </c>
      <c r="C72" s="154" t="s">
        <v>429</v>
      </c>
      <c r="D72" s="154">
        <v>84.74</v>
      </c>
      <c r="E72" s="159">
        <v>43953</v>
      </c>
      <c r="F72" s="174" t="s">
        <v>443</v>
      </c>
      <c r="G72" s="154"/>
    </row>
    <row r="73" spans="1:7" x14ac:dyDescent="0.25">
      <c r="A73" s="173">
        <v>71</v>
      </c>
      <c r="B73" s="154" t="s">
        <v>444</v>
      </c>
      <c r="C73" s="154" t="s">
        <v>429</v>
      </c>
      <c r="D73" s="154">
        <v>80.3</v>
      </c>
      <c r="E73" s="159">
        <v>43953</v>
      </c>
      <c r="F73" s="174" t="s">
        <v>443</v>
      </c>
      <c r="G73" s="154"/>
    </row>
    <row r="74" spans="1:7" x14ac:dyDescent="0.25">
      <c r="A74" s="173">
        <v>72</v>
      </c>
      <c r="B74" s="154" t="s">
        <v>445</v>
      </c>
      <c r="C74" s="154" t="s">
        <v>429</v>
      </c>
      <c r="D74" s="154">
        <v>60.5</v>
      </c>
      <c r="E74" s="159">
        <v>43953</v>
      </c>
      <c r="F74" s="174" t="s">
        <v>443</v>
      </c>
      <c r="G74" s="154"/>
    </row>
    <row r="75" spans="1:7" x14ac:dyDescent="0.25">
      <c r="A75" s="173">
        <v>73</v>
      </c>
      <c r="B75" s="154" t="s">
        <v>446</v>
      </c>
      <c r="C75" s="154" t="s">
        <v>429</v>
      </c>
      <c r="D75" s="154">
        <v>60.5</v>
      </c>
      <c r="E75" s="159">
        <v>43953</v>
      </c>
      <c r="F75" s="174" t="s">
        <v>443</v>
      </c>
      <c r="G75" s="154"/>
    </row>
    <row r="76" spans="1:7" x14ac:dyDescent="0.25">
      <c r="A76" s="173">
        <v>74</v>
      </c>
      <c r="B76" s="154" t="s">
        <v>447</v>
      </c>
      <c r="C76" s="154" t="s">
        <v>49</v>
      </c>
      <c r="D76" s="154">
        <v>33</v>
      </c>
      <c r="E76" s="159">
        <v>43953</v>
      </c>
      <c r="F76" s="174" t="s">
        <v>448</v>
      </c>
      <c r="G76" s="154"/>
    </row>
    <row r="77" spans="1:7" x14ac:dyDescent="0.25">
      <c r="A77" s="173">
        <v>75</v>
      </c>
      <c r="B77" s="154" t="s">
        <v>449</v>
      </c>
      <c r="C77" s="154" t="s">
        <v>35</v>
      </c>
      <c r="D77" s="154">
        <v>4</v>
      </c>
      <c r="E77" s="159">
        <v>43953</v>
      </c>
      <c r="F77" s="174" t="s">
        <v>450</v>
      </c>
      <c r="G77" s="154"/>
    </row>
    <row r="78" spans="1:7" x14ac:dyDescent="0.25">
      <c r="A78" s="173">
        <v>76</v>
      </c>
      <c r="B78" s="154" t="s">
        <v>451</v>
      </c>
      <c r="C78" s="154" t="s">
        <v>309</v>
      </c>
      <c r="D78" s="154">
        <v>453.2</v>
      </c>
      <c r="E78" s="159">
        <v>43953</v>
      </c>
      <c r="F78" s="174" t="s">
        <v>452</v>
      </c>
      <c r="G78" s="154"/>
    </row>
    <row r="79" spans="1:7" x14ac:dyDescent="0.25">
      <c r="A79" s="173">
        <v>77</v>
      </c>
      <c r="B79" s="154" t="s">
        <v>453</v>
      </c>
      <c r="C79" s="154" t="s">
        <v>309</v>
      </c>
      <c r="D79" s="154">
        <v>494.5</v>
      </c>
      <c r="E79" s="159">
        <v>43953</v>
      </c>
      <c r="F79" s="174" t="s">
        <v>452</v>
      </c>
      <c r="G79" s="154"/>
    </row>
    <row r="80" spans="1:7" x14ac:dyDescent="0.25">
      <c r="A80" s="173">
        <v>78</v>
      </c>
      <c r="B80" s="154" t="s">
        <v>454</v>
      </c>
      <c r="C80" s="154" t="s">
        <v>429</v>
      </c>
      <c r="D80" s="154">
        <v>48.4</v>
      </c>
      <c r="E80" s="159">
        <v>43953</v>
      </c>
      <c r="F80" s="174" t="s">
        <v>455</v>
      </c>
      <c r="G80" s="154"/>
    </row>
    <row r="81" spans="1:7" x14ac:dyDescent="0.25">
      <c r="A81" s="173">
        <v>79</v>
      </c>
      <c r="B81" s="154" t="s">
        <v>456</v>
      </c>
      <c r="C81" s="154" t="s">
        <v>429</v>
      </c>
      <c r="D81" s="154">
        <v>51.78</v>
      </c>
      <c r="E81" s="159">
        <v>43953</v>
      </c>
      <c r="F81" s="174" t="s">
        <v>455</v>
      </c>
      <c r="G81" s="154"/>
    </row>
    <row r="82" spans="1:7" x14ac:dyDescent="0.25">
      <c r="A82" s="173">
        <v>80</v>
      </c>
      <c r="B82" s="154" t="s">
        <v>457</v>
      </c>
      <c r="C82" s="154" t="s">
        <v>458</v>
      </c>
      <c r="D82" s="154">
        <v>25.3</v>
      </c>
      <c r="E82" s="159">
        <v>43953</v>
      </c>
      <c r="F82" s="174" t="s">
        <v>457</v>
      </c>
      <c r="G82" s="154"/>
    </row>
    <row r="83" spans="1:7" x14ac:dyDescent="0.25">
      <c r="A83" s="173">
        <v>81</v>
      </c>
      <c r="B83" s="154" t="s">
        <v>459</v>
      </c>
      <c r="C83" s="154" t="s">
        <v>341</v>
      </c>
      <c r="D83" s="154">
        <v>14.8</v>
      </c>
      <c r="E83" s="159">
        <v>43953</v>
      </c>
      <c r="F83" s="174" t="s">
        <v>460</v>
      </c>
      <c r="G83" s="154"/>
    </row>
    <row r="84" spans="1:7" x14ac:dyDescent="0.25">
      <c r="A84" s="173">
        <v>82</v>
      </c>
      <c r="B84" s="154" t="s">
        <v>460</v>
      </c>
      <c r="C84" s="154" t="s">
        <v>341</v>
      </c>
      <c r="D84" s="154">
        <v>2.8</v>
      </c>
      <c r="E84" s="159">
        <v>43953</v>
      </c>
      <c r="F84" s="174" t="s">
        <v>460</v>
      </c>
      <c r="G84" s="154"/>
    </row>
    <row r="85" spans="1:7" x14ac:dyDescent="0.25">
      <c r="A85" s="173">
        <v>83</v>
      </c>
      <c r="B85" s="154" t="s">
        <v>461</v>
      </c>
      <c r="C85" s="154" t="s">
        <v>49</v>
      </c>
      <c r="D85" s="154">
        <v>5.2</v>
      </c>
      <c r="E85" s="159">
        <v>43953</v>
      </c>
      <c r="F85" s="174" t="s">
        <v>462</v>
      </c>
      <c r="G85" s="154"/>
    </row>
    <row r="86" spans="1:7" x14ac:dyDescent="0.25">
      <c r="A86" s="173">
        <v>84</v>
      </c>
      <c r="B86" s="154" t="s">
        <v>463</v>
      </c>
      <c r="C86" s="154" t="s">
        <v>49</v>
      </c>
      <c r="D86" s="154">
        <v>3.1</v>
      </c>
      <c r="E86" s="159">
        <v>43953</v>
      </c>
      <c r="F86" s="174" t="s">
        <v>464</v>
      </c>
      <c r="G86" s="154"/>
    </row>
    <row r="87" spans="1:7" x14ac:dyDescent="0.25">
      <c r="A87" s="173">
        <v>85</v>
      </c>
      <c r="B87" s="154" t="s">
        <v>465</v>
      </c>
      <c r="C87" s="154" t="s">
        <v>466</v>
      </c>
      <c r="D87" s="154">
        <v>1.7</v>
      </c>
      <c r="E87" s="159">
        <v>43953</v>
      </c>
      <c r="F87" s="174" t="s">
        <v>465</v>
      </c>
      <c r="G87" s="154"/>
    </row>
    <row r="88" spans="1:7" x14ac:dyDescent="0.25">
      <c r="A88" s="173">
        <v>86</v>
      </c>
      <c r="B88" s="154" t="s">
        <v>467</v>
      </c>
      <c r="C88" s="154" t="s">
        <v>49</v>
      </c>
      <c r="D88" s="154">
        <v>56.65</v>
      </c>
      <c r="E88" s="159">
        <v>43953</v>
      </c>
      <c r="F88" s="174" t="s">
        <v>468</v>
      </c>
      <c r="G88" s="154"/>
    </row>
    <row r="89" spans="1:7" x14ac:dyDescent="0.25">
      <c r="A89" s="173">
        <v>87</v>
      </c>
      <c r="B89" s="154" t="s">
        <v>469</v>
      </c>
      <c r="C89" s="154" t="s">
        <v>49</v>
      </c>
      <c r="D89" s="154">
        <v>0.2</v>
      </c>
      <c r="E89" s="159">
        <v>43953</v>
      </c>
      <c r="F89" s="174" t="s">
        <v>470</v>
      </c>
      <c r="G89" s="154"/>
    </row>
    <row r="90" spans="1:7" x14ac:dyDescent="0.25">
      <c r="A90" s="173">
        <v>88</v>
      </c>
      <c r="B90" s="154" t="s">
        <v>471</v>
      </c>
      <c r="C90" s="154" t="s">
        <v>49</v>
      </c>
      <c r="D90" s="154">
        <v>0.6</v>
      </c>
      <c r="E90" s="159">
        <v>43953</v>
      </c>
      <c r="F90" s="174" t="s">
        <v>472</v>
      </c>
      <c r="G90" s="154"/>
    </row>
    <row r="91" spans="1:7" x14ac:dyDescent="0.25">
      <c r="A91" s="173">
        <v>89</v>
      </c>
      <c r="B91" s="154" t="s">
        <v>473</v>
      </c>
      <c r="C91" s="154" t="s">
        <v>35</v>
      </c>
      <c r="D91" s="154">
        <v>9.1999999999999993</v>
      </c>
      <c r="E91" s="159">
        <v>43953</v>
      </c>
      <c r="F91" s="174" t="s">
        <v>474</v>
      </c>
      <c r="G91" s="154"/>
    </row>
    <row r="92" spans="1:7" x14ac:dyDescent="0.25">
      <c r="A92" s="173">
        <v>90</v>
      </c>
      <c r="B92" s="154" t="s">
        <v>475</v>
      </c>
      <c r="C92" s="154" t="s">
        <v>35</v>
      </c>
      <c r="D92" s="154">
        <v>21.3</v>
      </c>
      <c r="E92" s="159">
        <v>43953</v>
      </c>
      <c r="F92" s="174" t="s">
        <v>474</v>
      </c>
      <c r="G92" s="154"/>
    </row>
    <row r="93" spans="1:7" x14ac:dyDescent="0.25">
      <c r="A93" s="173">
        <v>91</v>
      </c>
      <c r="B93" s="154" t="s">
        <v>476</v>
      </c>
      <c r="C93" s="154" t="s">
        <v>35</v>
      </c>
      <c r="D93" s="154">
        <v>1.7</v>
      </c>
      <c r="E93" s="159">
        <v>43953</v>
      </c>
      <c r="F93" s="174" t="s">
        <v>477</v>
      </c>
      <c r="G93" s="154"/>
    </row>
    <row r="94" spans="1:7" x14ac:dyDescent="0.25">
      <c r="A94" s="173">
        <v>92</v>
      </c>
      <c r="B94" s="154" t="s">
        <v>478</v>
      </c>
      <c r="C94" s="154" t="s">
        <v>35</v>
      </c>
      <c r="D94" s="154">
        <v>2</v>
      </c>
      <c r="E94" s="159">
        <v>43953</v>
      </c>
      <c r="F94" s="174" t="s">
        <v>477</v>
      </c>
      <c r="G94" s="154"/>
    </row>
    <row r="95" spans="1:7" x14ac:dyDescent="0.25">
      <c r="A95" s="173">
        <v>93</v>
      </c>
      <c r="B95" s="154" t="s">
        <v>479</v>
      </c>
      <c r="C95" s="154" t="s">
        <v>35</v>
      </c>
      <c r="D95" s="154">
        <v>1.43</v>
      </c>
      <c r="E95" s="159">
        <v>43953</v>
      </c>
      <c r="F95" s="174" t="s">
        <v>477</v>
      </c>
      <c r="G95" s="154"/>
    </row>
    <row r="96" spans="1:7" x14ac:dyDescent="0.25">
      <c r="A96" s="173">
        <v>94</v>
      </c>
      <c r="B96" s="154" t="s">
        <v>480</v>
      </c>
      <c r="C96" s="154" t="s">
        <v>35</v>
      </c>
      <c r="D96" s="154">
        <v>1.43</v>
      </c>
      <c r="E96" s="159">
        <v>43953</v>
      </c>
      <c r="F96" s="174" t="s">
        <v>477</v>
      </c>
      <c r="G96" s="154"/>
    </row>
    <row r="97" spans="1:7" x14ac:dyDescent="0.25">
      <c r="A97" s="173">
        <v>95</v>
      </c>
      <c r="B97" s="154" t="s">
        <v>481</v>
      </c>
      <c r="C97" s="154" t="s">
        <v>35</v>
      </c>
      <c r="D97" s="154">
        <v>18.399999999999999</v>
      </c>
      <c r="E97" s="159">
        <v>43953</v>
      </c>
      <c r="F97" s="174" t="s">
        <v>482</v>
      </c>
      <c r="G97" s="154"/>
    </row>
    <row r="98" spans="1:7" x14ac:dyDescent="0.25">
      <c r="A98" s="173">
        <v>96</v>
      </c>
      <c r="B98" s="154" t="s">
        <v>483</v>
      </c>
      <c r="C98" s="154" t="s">
        <v>334</v>
      </c>
      <c r="D98" s="154">
        <v>574.29999999999995</v>
      </c>
      <c r="E98" s="159">
        <v>43953</v>
      </c>
      <c r="F98" s="174" t="s">
        <v>484</v>
      </c>
      <c r="G98" s="154"/>
    </row>
    <row r="99" spans="1:7" x14ac:dyDescent="0.25">
      <c r="A99" s="173">
        <v>97</v>
      </c>
      <c r="B99" s="154" t="s">
        <v>485</v>
      </c>
      <c r="C99" s="154" t="s">
        <v>309</v>
      </c>
      <c r="D99" s="154">
        <v>51.8</v>
      </c>
      <c r="E99" s="159">
        <v>43953</v>
      </c>
      <c r="F99" s="174" t="s">
        <v>486</v>
      </c>
      <c r="G99" s="154"/>
    </row>
    <row r="100" spans="1:7" x14ac:dyDescent="0.25">
      <c r="A100" s="173">
        <v>98</v>
      </c>
      <c r="B100" s="154" t="s">
        <v>487</v>
      </c>
      <c r="C100" s="154" t="s">
        <v>309</v>
      </c>
      <c r="D100" s="154">
        <v>65</v>
      </c>
      <c r="E100" s="159">
        <v>43953</v>
      </c>
      <c r="F100" s="174" t="s">
        <v>488</v>
      </c>
      <c r="G100" s="154"/>
    </row>
    <row r="101" spans="1:7" x14ac:dyDescent="0.25">
      <c r="A101" s="173">
        <v>99</v>
      </c>
      <c r="B101" s="154" t="s">
        <v>489</v>
      </c>
      <c r="C101" s="154" t="s">
        <v>35</v>
      </c>
      <c r="D101" s="154">
        <v>7.5</v>
      </c>
      <c r="E101" s="159">
        <v>43953</v>
      </c>
      <c r="F101" s="174" t="s">
        <v>490</v>
      </c>
      <c r="G101" s="154"/>
    </row>
  </sheetData>
  <mergeCells count="1">
    <mergeCell ref="A1:F1"/>
  </mergeCells>
  <pageMargins left="0.7" right="0.7" top="0.75" bottom="0.75" header="0.3" footer="0.3"/>
  <pageSetup orientation="portrait"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L214"/>
  <sheetViews>
    <sheetView topLeftCell="C184" workbookViewId="0">
      <selection activeCell="K209" sqref="K209"/>
    </sheetView>
  </sheetViews>
  <sheetFormatPr baseColWidth="10" defaultRowHeight="15" x14ac:dyDescent="0.25"/>
  <cols>
    <col min="1" max="1" width="6.28515625" bestFit="1" customWidth="1"/>
    <col min="2" max="2" width="25.28515625" customWidth="1"/>
    <col min="3" max="3" width="12.7109375" customWidth="1"/>
    <col min="4" max="4" width="17.5703125" bestFit="1" customWidth="1"/>
    <col min="5" max="5" width="18" bestFit="1" customWidth="1"/>
    <col min="10" max="10" width="51.5703125" customWidth="1"/>
    <col min="11" max="11" width="21.42578125" customWidth="1"/>
    <col min="12" max="12" width="11.85546875" customWidth="1"/>
    <col min="13" max="13" width="28.85546875" customWidth="1"/>
    <col min="14" max="14" width="22.42578125" customWidth="1"/>
    <col min="15" max="15" width="8" customWidth="1"/>
    <col min="16" max="16" width="8.42578125" customWidth="1"/>
    <col min="17" max="17" width="11" customWidth="1"/>
    <col min="18" max="18" width="8" customWidth="1"/>
    <col min="19" max="19" width="11.85546875" customWidth="1"/>
    <col min="20" max="20" width="12.42578125" customWidth="1"/>
    <col min="21" max="21" width="21.5703125" customWidth="1"/>
    <col min="22" max="22" width="19.28515625" customWidth="1"/>
    <col min="23" max="23" width="11.28515625" customWidth="1"/>
    <col min="24" max="24" width="14.5703125" customWidth="1"/>
    <col min="25" max="25" width="12" customWidth="1"/>
    <col min="26" max="26" width="11.42578125" customWidth="1"/>
    <col min="27" max="27" width="24.5703125" customWidth="1"/>
    <col min="28" max="28" width="11.85546875" customWidth="1"/>
    <col min="29" max="29" width="15" customWidth="1"/>
    <col min="30" max="30" width="17.7109375" customWidth="1"/>
    <col min="31" max="31" width="19" customWidth="1"/>
    <col min="32" max="32" width="11.28515625" customWidth="1"/>
    <col min="33" max="33" width="14.5703125" customWidth="1"/>
    <col min="34" max="34" width="21.7109375" customWidth="1"/>
    <col min="35" max="35" width="16.140625" customWidth="1"/>
    <col min="36" max="36" width="9.7109375" customWidth="1"/>
    <col min="37" max="37" width="18.85546875" customWidth="1"/>
    <col min="38" max="38" width="11.85546875" customWidth="1"/>
    <col min="39" max="39" width="18.42578125" bestFit="1" customWidth="1"/>
    <col min="40" max="40" width="5" customWidth="1"/>
    <col min="41" max="43" width="6" customWidth="1"/>
    <col min="44" max="49" width="7" customWidth="1"/>
    <col min="50" max="50" width="8" customWidth="1"/>
    <col min="51" max="51" width="9" customWidth="1"/>
    <col min="52" max="52" width="21.28515625" bestFit="1" customWidth="1"/>
    <col min="53" max="53" width="22.140625" bestFit="1" customWidth="1"/>
    <col min="54" max="54" width="5" customWidth="1"/>
    <col min="55" max="57" width="6" customWidth="1"/>
    <col min="58" max="63" width="7" customWidth="1"/>
    <col min="64" max="64" width="8" customWidth="1"/>
    <col min="65" max="65" width="9" customWidth="1"/>
    <col min="66" max="66" width="24.85546875" bestFit="1" customWidth="1"/>
    <col min="67" max="67" width="7.85546875" customWidth="1"/>
    <col min="68" max="68" width="5" customWidth="1"/>
    <col min="69" max="71" width="6" customWidth="1"/>
    <col min="72" max="77" width="7" customWidth="1"/>
    <col min="78" max="78" width="8" customWidth="1"/>
    <col min="79" max="79" width="9" customWidth="1"/>
    <col min="80" max="80" width="10.5703125" customWidth="1"/>
    <col min="81" max="81" width="16.140625" bestFit="1" customWidth="1"/>
    <col min="82" max="82" width="5" customWidth="1"/>
    <col min="83" max="85" width="6" customWidth="1"/>
    <col min="86" max="91" width="7" customWidth="1"/>
    <col min="92" max="92" width="8" customWidth="1"/>
    <col min="93" max="93" width="9" customWidth="1"/>
    <col min="94" max="94" width="18.85546875" bestFit="1" customWidth="1"/>
    <col min="95" max="95" width="17.85546875" bestFit="1" customWidth="1"/>
    <col min="96" max="96" width="5" customWidth="1"/>
    <col min="97" max="99" width="6" customWidth="1"/>
    <col min="100" max="105" width="7" customWidth="1"/>
    <col min="106" max="106" width="8" customWidth="1"/>
    <col min="107" max="107" width="9" customWidth="1"/>
    <col min="108" max="108" width="20.7109375" bestFit="1" customWidth="1"/>
    <col min="109" max="109" width="15" bestFit="1" customWidth="1"/>
    <col min="110" max="110" width="5" customWidth="1"/>
    <col min="111" max="113" width="6" customWidth="1"/>
    <col min="114" max="119" width="7" customWidth="1"/>
    <col min="120" max="120" width="8" customWidth="1"/>
    <col min="121" max="121" width="9" customWidth="1"/>
    <col min="122" max="122" width="17.7109375" bestFit="1" customWidth="1"/>
    <col min="123" max="123" width="19" bestFit="1" customWidth="1"/>
    <col min="124" max="124" width="5" customWidth="1"/>
    <col min="125" max="127" width="6" customWidth="1"/>
    <col min="128" max="133" width="7" customWidth="1"/>
    <col min="134" max="134" width="8" customWidth="1"/>
    <col min="135" max="135" width="9" customWidth="1"/>
    <col min="136" max="136" width="21.7109375" bestFit="1" customWidth="1"/>
    <col min="137" max="137" width="16.140625" bestFit="1" customWidth="1"/>
    <col min="138" max="138" width="5" customWidth="1"/>
    <col min="139" max="141" width="6" customWidth="1"/>
    <col min="142" max="147" width="7" customWidth="1"/>
    <col min="148" max="148" width="8" customWidth="1"/>
    <col min="149" max="149" width="9" customWidth="1"/>
    <col min="150" max="150" width="18.85546875" bestFit="1" customWidth="1"/>
    <col min="151" max="151" width="11.85546875" bestFit="1" customWidth="1"/>
  </cols>
  <sheetData>
    <row r="2" spans="1:12" x14ac:dyDescent="0.25">
      <c r="J2" s="178" t="s">
        <v>285</v>
      </c>
      <c r="K2" t="s" vm="1">
        <v>319</v>
      </c>
    </row>
    <row r="3" spans="1:12" x14ac:dyDescent="0.25">
      <c r="A3" t="s">
        <v>316</v>
      </c>
      <c r="B3" t="s">
        <v>310</v>
      </c>
      <c r="C3" t="s">
        <v>295</v>
      </c>
      <c r="D3" t="s">
        <v>296</v>
      </c>
      <c r="E3" t="s">
        <v>297</v>
      </c>
    </row>
    <row r="4" spans="1:12" x14ac:dyDescent="0.25">
      <c r="A4">
        <v>1</v>
      </c>
      <c r="B4" t="s">
        <v>286</v>
      </c>
      <c r="C4" t="s">
        <v>298</v>
      </c>
      <c r="D4">
        <v>711552</v>
      </c>
      <c r="E4" s="177" t="s">
        <v>304</v>
      </c>
      <c r="G4" s="180"/>
      <c r="H4" s="181"/>
      <c r="I4" s="182"/>
      <c r="J4" s="178" t="s">
        <v>317</v>
      </c>
      <c r="K4" s="178" t="s">
        <v>306</v>
      </c>
    </row>
    <row r="5" spans="1:12" x14ac:dyDescent="0.25">
      <c r="A5">
        <v>2</v>
      </c>
      <c r="B5" t="s">
        <v>292</v>
      </c>
      <c r="C5" t="s">
        <v>302</v>
      </c>
      <c r="D5">
        <v>125222</v>
      </c>
      <c r="G5" s="183"/>
      <c r="H5" s="184"/>
      <c r="I5" s="185"/>
      <c r="J5" s="178" t="s">
        <v>307</v>
      </c>
      <c r="K5" t="s">
        <v>537</v>
      </c>
      <c r="L5" t="s">
        <v>308</v>
      </c>
    </row>
    <row r="6" spans="1:12" x14ac:dyDescent="0.25">
      <c r="A6">
        <v>3</v>
      </c>
      <c r="B6" t="s">
        <v>292</v>
      </c>
      <c r="C6" t="s">
        <v>302</v>
      </c>
      <c r="D6">
        <v>55552221</v>
      </c>
      <c r="G6" s="183"/>
      <c r="H6" s="184"/>
      <c r="I6" s="185"/>
      <c r="J6" s="179" t="s">
        <v>534</v>
      </c>
      <c r="K6">
        <v>4873.58</v>
      </c>
      <c r="L6">
        <v>4873.58</v>
      </c>
    </row>
    <row r="7" spans="1:12" x14ac:dyDescent="0.25">
      <c r="A7">
        <v>4</v>
      </c>
      <c r="B7" t="s">
        <v>291</v>
      </c>
      <c r="C7" t="s">
        <v>302</v>
      </c>
      <c r="D7">
        <v>121255</v>
      </c>
      <c r="G7" s="183"/>
      <c r="H7" s="184"/>
      <c r="I7" s="185"/>
      <c r="J7" s="189" t="s">
        <v>327</v>
      </c>
      <c r="K7">
        <v>2.75</v>
      </c>
      <c r="L7">
        <v>2.75</v>
      </c>
    </row>
    <row r="8" spans="1:12" x14ac:dyDescent="0.25">
      <c r="A8">
        <v>5</v>
      </c>
      <c r="B8" t="s">
        <v>291</v>
      </c>
      <c r="C8" t="s">
        <v>302</v>
      </c>
      <c r="D8">
        <v>111452</v>
      </c>
      <c r="G8" s="183"/>
      <c r="H8" s="184"/>
      <c r="I8" s="185"/>
      <c r="J8" s="199">
        <v>711552</v>
      </c>
      <c r="K8">
        <v>2.75</v>
      </c>
      <c r="L8">
        <v>2.75</v>
      </c>
    </row>
    <row r="9" spans="1:12" x14ac:dyDescent="0.25">
      <c r="A9">
        <v>6</v>
      </c>
      <c r="B9" t="s">
        <v>293</v>
      </c>
      <c r="C9" t="s">
        <v>303</v>
      </c>
      <c r="D9">
        <v>1155</v>
      </c>
      <c r="G9" s="183"/>
      <c r="H9" s="184"/>
      <c r="I9" s="185"/>
      <c r="J9" s="189" t="s">
        <v>357</v>
      </c>
      <c r="K9">
        <v>1.1000000000000001</v>
      </c>
      <c r="L9">
        <v>1.1000000000000001</v>
      </c>
    </row>
    <row r="10" spans="1:12" x14ac:dyDescent="0.25">
      <c r="A10">
        <v>7</v>
      </c>
      <c r="B10" t="s">
        <v>293</v>
      </c>
      <c r="D10">
        <v>55221</v>
      </c>
      <c r="G10" s="183"/>
      <c r="H10" s="184"/>
      <c r="I10" s="185"/>
      <c r="J10" s="199">
        <v>711552</v>
      </c>
      <c r="K10">
        <v>1.1000000000000001</v>
      </c>
      <c r="L10">
        <v>1.1000000000000001</v>
      </c>
    </row>
    <row r="11" spans="1:12" x14ac:dyDescent="0.25">
      <c r="A11">
        <v>8</v>
      </c>
      <c r="B11" t="s">
        <v>290</v>
      </c>
      <c r="C11" t="s">
        <v>298</v>
      </c>
      <c r="D11">
        <v>254110</v>
      </c>
      <c r="G11" s="183"/>
      <c r="H11" s="184"/>
      <c r="I11" s="185"/>
      <c r="J11" s="189" t="s">
        <v>356</v>
      </c>
      <c r="K11">
        <v>5.39</v>
      </c>
      <c r="L11">
        <v>5.39</v>
      </c>
    </row>
    <row r="12" spans="1:12" x14ac:dyDescent="0.25">
      <c r="A12">
        <v>9</v>
      </c>
      <c r="B12" t="s">
        <v>294</v>
      </c>
      <c r="C12" t="s">
        <v>300</v>
      </c>
      <c r="D12">
        <v>111444</v>
      </c>
      <c r="G12" s="183"/>
      <c r="H12" s="184"/>
      <c r="I12" s="185"/>
      <c r="J12" s="199">
        <v>711552</v>
      </c>
      <c r="K12">
        <v>5.39</v>
      </c>
      <c r="L12">
        <v>5.39</v>
      </c>
    </row>
    <row r="13" spans="1:12" x14ac:dyDescent="0.25">
      <c r="A13">
        <v>10</v>
      </c>
      <c r="B13" t="s">
        <v>294</v>
      </c>
      <c r="C13" t="s">
        <v>300</v>
      </c>
      <c r="D13">
        <v>44522</v>
      </c>
      <c r="G13" s="183"/>
      <c r="H13" s="184"/>
      <c r="I13" s="185"/>
      <c r="J13" s="189" t="s">
        <v>358</v>
      </c>
      <c r="K13">
        <v>0.4</v>
      </c>
      <c r="L13">
        <v>0.4</v>
      </c>
    </row>
    <row r="14" spans="1:12" x14ac:dyDescent="0.25">
      <c r="A14">
        <v>11</v>
      </c>
      <c r="B14" t="s">
        <v>312</v>
      </c>
      <c r="C14" t="s">
        <v>313</v>
      </c>
      <c r="D14">
        <v>165461</v>
      </c>
      <c r="G14" s="183"/>
      <c r="H14" s="184"/>
      <c r="I14" s="185"/>
      <c r="J14" s="199">
        <v>711552</v>
      </c>
      <c r="K14">
        <v>0.4</v>
      </c>
      <c r="L14">
        <v>0.4</v>
      </c>
    </row>
    <row r="15" spans="1:12" x14ac:dyDescent="0.25">
      <c r="A15">
        <v>12</v>
      </c>
      <c r="B15" t="s">
        <v>314</v>
      </c>
      <c r="C15" t="s">
        <v>315</v>
      </c>
      <c r="D15">
        <v>36523</v>
      </c>
      <c r="G15" s="183"/>
      <c r="H15" s="184"/>
      <c r="I15" s="185"/>
      <c r="J15" s="189" t="s">
        <v>359</v>
      </c>
      <c r="K15">
        <v>50.2</v>
      </c>
      <c r="L15">
        <v>50.2</v>
      </c>
    </row>
    <row r="16" spans="1:12" x14ac:dyDescent="0.25">
      <c r="A16">
        <v>13</v>
      </c>
      <c r="B16" t="s">
        <v>287</v>
      </c>
      <c r="C16" t="s">
        <v>299</v>
      </c>
      <c r="D16">
        <v>96322</v>
      </c>
      <c r="G16" s="183"/>
      <c r="H16" s="184"/>
      <c r="I16" s="185"/>
      <c r="J16" s="199">
        <v>711552</v>
      </c>
      <c r="K16">
        <v>50.2</v>
      </c>
      <c r="L16">
        <v>50.2</v>
      </c>
    </row>
    <row r="17" spans="1:12" x14ac:dyDescent="0.25">
      <c r="A17">
        <v>14</v>
      </c>
      <c r="B17" t="s">
        <v>288</v>
      </c>
      <c r="C17" t="s">
        <v>300</v>
      </c>
      <c r="D17">
        <v>225622</v>
      </c>
      <c r="G17" s="183"/>
      <c r="H17" s="184"/>
      <c r="I17" s="185"/>
      <c r="J17" s="189" t="s">
        <v>361</v>
      </c>
      <c r="K17">
        <v>25.2</v>
      </c>
      <c r="L17">
        <v>25.2</v>
      </c>
    </row>
    <row r="18" spans="1:12" x14ac:dyDescent="0.25">
      <c r="A18">
        <v>15</v>
      </c>
      <c r="B18" t="s">
        <v>287</v>
      </c>
      <c r="C18" t="s">
        <v>299</v>
      </c>
      <c r="D18">
        <v>525562</v>
      </c>
      <c r="G18" s="183"/>
      <c r="H18" s="184"/>
      <c r="I18" s="185"/>
      <c r="J18" s="199">
        <v>711552</v>
      </c>
      <c r="K18">
        <v>25.2</v>
      </c>
      <c r="L18">
        <v>25.2</v>
      </c>
    </row>
    <row r="19" spans="1:12" x14ac:dyDescent="0.25">
      <c r="A19">
        <v>16</v>
      </c>
      <c r="B19" t="s">
        <v>289</v>
      </c>
      <c r="C19" t="s">
        <v>301</v>
      </c>
      <c r="D19">
        <v>25550</v>
      </c>
      <c r="E19" s="177" t="s">
        <v>305</v>
      </c>
      <c r="G19" s="183"/>
      <c r="H19" s="184"/>
      <c r="I19" s="185"/>
      <c r="J19" s="189" t="s">
        <v>362</v>
      </c>
      <c r="K19">
        <v>26.4</v>
      </c>
      <c r="L19">
        <v>26.4</v>
      </c>
    </row>
    <row r="20" spans="1:12" x14ac:dyDescent="0.25">
      <c r="A20">
        <v>17</v>
      </c>
      <c r="B20" t="s">
        <v>290</v>
      </c>
      <c r="C20" t="s">
        <v>298</v>
      </c>
      <c r="D20">
        <v>115522</v>
      </c>
      <c r="G20" s="183"/>
      <c r="H20" s="184"/>
      <c r="I20" s="185"/>
      <c r="J20" s="199">
        <v>711552</v>
      </c>
      <c r="K20">
        <v>26.4</v>
      </c>
      <c r="L20">
        <v>26.4</v>
      </c>
    </row>
    <row r="21" spans="1:12" x14ac:dyDescent="0.25">
      <c r="A21">
        <v>18</v>
      </c>
      <c r="B21" t="s">
        <v>291</v>
      </c>
      <c r="C21" t="s">
        <v>302</v>
      </c>
      <c r="D21">
        <v>14552</v>
      </c>
      <c r="G21" s="186"/>
      <c r="H21" s="187"/>
      <c r="I21" s="188"/>
      <c r="J21" s="189" t="s">
        <v>363</v>
      </c>
      <c r="K21">
        <v>28.8</v>
      </c>
      <c r="L21">
        <v>28.8</v>
      </c>
    </row>
    <row r="22" spans="1:12" x14ac:dyDescent="0.25">
      <c r="A22">
        <v>19</v>
      </c>
      <c r="B22" t="s">
        <v>291</v>
      </c>
      <c r="C22" t="s">
        <v>302</v>
      </c>
      <c r="D22">
        <v>111452</v>
      </c>
      <c r="J22" s="199">
        <v>711552</v>
      </c>
      <c r="K22">
        <v>28.8</v>
      </c>
      <c r="L22">
        <v>28.8</v>
      </c>
    </row>
    <row r="23" spans="1:12" x14ac:dyDescent="0.25">
      <c r="A23">
        <v>20</v>
      </c>
      <c r="B23" t="s">
        <v>293</v>
      </c>
      <c r="C23" t="s">
        <v>303</v>
      </c>
      <c r="D23">
        <v>1155</v>
      </c>
      <c r="J23" s="189" t="s">
        <v>366</v>
      </c>
      <c r="K23">
        <v>3.7</v>
      </c>
      <c r="L23">
        <v>3.7</v>
      </c>
    </row>
    <row r="24" spans="1:12" x14ac:dyDescent="0.25">
      <c r="A24">
        <v>21</v>
      </c>
      <c r="B24" t="s">
        <v>293</v>
      </c>
      <c r="D24">
        <v>1114</v>
      </c>
      <c r="J24" s="199">
        <v>711552</v>
      </c>
      <c r="K24">
        <v>3.7</v>
      </c>
      <c r="L24">
        <v>3.7</v>
      </c>
    </row>
    <row r="25" spans="1:12" x14ac:dyDescent="0.25">
      <c r="A25">
        <v>22</v>
      </c>
      <c r="B25" t="s">
        <v>290</v>
      </c>
      <c r="C25" t="s">
        <v>298</v>
      </c>
      <c r="D25">
        <v>1111552</v>
      </c>
      <c r="J25" s="189" t="s">
        <v>364</v>
      </c>
      <c r="K25">
        <v>0.9</v>
      </c>
      <c r="L25">
        <v>0.9</v>
      </c>
    </row>
    <row r="26" spans="1:12" x14ac:dyDescent="0.25">
      <c r="A26">
        <v>23</v>
      </c>
      <c r="B26" t="s">
        <v>294</v>
      </c>
      <c r="C26" t="s">
        <v>300</v>
      </c>
      <c r="D26">
        <v>111444</v>
      </c>
      <c r="J26" s="199">
        <v>711552</v>
      </c>
      <c r="K26">
        <v>0.9</v>
      </c>
      <c r="L26">
        <v>0.9</v>
      </c>
    </row>
    <row r="27" spans="1:12" x14ac:dyDescent="0.25">
      <c r="J27" s="189" t="s">
        <v>367</v>
      </c>
      <c r="K27">
        <v>1.1000000000000001</v>
      </c>
      <c r="L27">
        <v>1.1000000000000001</v>
      </c>
    </row>
    <row r="28" spans="1:12" x14ac:dyDescent="0.25">
      <c r="J28" s="199">
        <v>711552</v>
      </c>
      <c r="K28">
        <v>1.1000000000000001</v>
      </c>
      <c r="L28">
        <v>1.1000000000000001</v>
      </c>
    </row>
    <row r="29" spans="1:12" x14ac:dyDescent="0.25">
      <c r="J29" s="189" t="s">
        <v>369</v>
      </c>
      <c r="K29">
        <v>1</v>
      </c>
      <c r="L29">
        <v>1</v>
      </c>
    </row>
    <row r="30" spans="1:12" x14ac:dyDescent="0.25">
      <c r="J30" s="199">
        <v>711552</v>
      </c>
      <c r="K30">
        <v>1</v>
      </c>
      <c r="L30">
        <v>1</v>
      </c>
    </row>
    <row r="31" spans="1:12" x14ac:dyDescent="0.25">
      <c r="J31" s="189" t="s">
        <v>368</v>
      </c>
      <c r="K31">
        <v>1.06</v>
      </c>
      <c r="L31">
        <v>1.06</v>
      </c>
    </row>
    <row r="32" spans="1:12" x14ac:dyDescent="0.25">
      <c r="J32" s="199">
        <v>711552</v>
      </c>
      <c r="K32">
        <v>1.06</v>
      </c>
      <c r="L32">
        <v>1.06</v>
      </c>
    </row>
    <row r="33" spans="10:12" x14ac:dyDescent="0.25">
      <c r="J33" s="189" t="s">
        <v>370</v>
      </c>
      <c r="K33">
        <v>54</v>
      </c>
      <c r="L33">
        <v>54</v>
      </c>
    </row>
    <row r="34" spans="10:12" x14ac:dyDescent="0.25">
      <c r="J34" s="199">
        <v>711552</v>
      </c>
      <c r="K34">
        <v>54</v>
      </c>
      <c r="L34">
        <v>54</v>
      </c>
    </row>
    <row r="35" spans="10:12" x14ac:dyDescent="0.25">
      <c r="J35" s="189" t="s">
        <v>373</v>
      </c>
      <c r="K35">
        <v>19.5</v>
      </c>
      <c r="L35">
        <v>19.5</v>
      </c>
    </row>
    <row r="36" spans="10:12" x14ac:dyDescent="0.25">
      <c r="J36" s="199">
        <v>711552</v>
      </c>
      <c r="K36">
        <v>19.5</v>
      </c>
      <c r="L36">
        <v>19.5</v>
      </c>
    </row>
    <row r="37" spans="10:12" x14ac:dyDescent="0.25">
      <c r="J37" s="189" t="s">
        <v>372</v>
      </c>
      <c r="K37">
        <v>3.6</v>
      </c>
      <c r="L37">
        <v>3.6</v>
      </c>
    </row>
    <row r="38" spans="10:12" x14ac:dyDescent="0.25">
      <c r="J38" s="199">
        <v>711552</v>
      </c>
      <c r="K38">
        <v>3.6</v>
      </c>
      <c r="L38">
        <v>3.6</v>
      </c>
    </row>
    <row r="39" spans="10:12" x14ac:dyDescent="0.25">
      <c r="J39" s="189" t="s">
        <v>374</v>
      </c>
      <c r="K39">
        <v>3.7</v>
      </c>
      <c r="L39">
        <v>3.7</v>
      </c>
    </row>
    <row r="40" spans="10:12" x14ac:dyDescent="0.25">
      <c r="J40" s="199">
        <v>711552</v>
      </c>
      <c r="K40">
        <v>3.7</v>
      </c>
      <c r="L40">
        <v>3.7</v>
      </c>
    </row>
    <row r="41" spans="10:12" x14ac:dyDescent="0.25">
      <c r="J41" s="189" t="s">
        <v>378</v>
      </c>
      <c r="K41">
        <v>7</v>
      </c>
      <c r="L41">
        <v>7</v>
      </c>
    </row>
    <row r="42" spans="10:12" x14ac:dyDescent="0.25">
      <c r="J42" s="199">
        <v>711552</v>
      </c>
      <c r="K42">
        <v>7</v>
      </c>
      <c r="L42">
        <v>7</v>
      </c>
    </row>
    <row r="43" spans="10:12" x14ac:dyDescent="0.25">
      <c r="J43" s="189" t="s">
        <v>377</v>
      </c>
      <c r="K43">
        <v>13.8</v>
      </c>
      <c r="L43">
        <v>13.8</v>
      </c>
    </row>
    <row r="44" spans="10:12" x14ac:dyDescent="0.25">
      <c r="J44" s="199">
        <v>711552</v>
      </c>
      <c r="K44">
        <v>13.8</v>
      </c>
      <c r="L44">
        <v>13.8</v>
      </c>
    </row>
    <row r="45" spans="10:12" x14ac:dyDescent="0.25">
      <c r="J45" s="189" t="s">
        <v>379</v>
      </c>
      <c r="K45">
        <v>6.4</v>
      </c>
      <c r="L45">
        <v>6.4</v>
      </c>
    </row>
    <row r="46" spans="10:12" x14ac:dyDescent="0.25">
      <c r="J46" s="199">
        <v>711552</v>
      </c>
      <c r="K46">
        <v>6.4</v>
      </c>
      <c r="L46">
        <v>6.4</v>
      </c>
    </row>
    <row r="47" spans="10:12" x14ac:dyDescent="0.25">
      <c r="J47" s="189" t="s">
        <v>381</v>
      </c>
      <c r="K47">
        <v>0.5</v>
      </c>
      <c r="L47">
        <v>0.5</v>
      </c>
    </row>
    <row r="48" spans="10:12" x14ac:dyDescent="0.25">
      <c r="J48" s="199">
        <v>711552</v>
      </c>
      <c r="K48">
        <v>0.5</v>
      </c>
      <c r="L48">
        <v>0.5</v>
      </c>
    </row>
    <row r="49" spans="10:12" x14ac:dyDescent="0.25">
      <c r="J49" s="189" t="s">
        <v>383</v>
      </c>
      <c r="K49">
        <v>0.1</v>
      </c>
      <c r="L49">
        <v>0.1</v>
      </c>
    </row>
    <row r="50" spans="10:12" x14ac:dyDescent="0.25">
      <c r="J50" s="199">
        <v>711552</v>
      </c>
      <c r="K50">
        <v>0.1</v>
      </c>
      <c r="L50">
        <v>0.1</v>
      </c>
    </row>
    <row r="51" spans="10:12" x14ac:dyDescent="0.25">
      <c r="J51" s="189" t="s">
        <v>384</v>
      </c>
      <c r="K51">
        <v>0.4</v>
      </c>
      <c r="L51">
        <v>0.4</v>
      </c>
    </row>
    <row r="52" spans="10:12" x14ac:dyDescent="0.25">
      <c r="J52" s="199">
        <v>711552</v>
      </c>
      <c r="K52">
        <v>0.4</v>
      </c>
      <c r="L52">
        <v>0.4</v>
      </c>
    </row>
    <row r="53" spans="10:12" x14ac:dyDescent="0.25">
      <c r="J53" s="189" t="s">
        <v>385</v>
      </c>
      <c r="K53">
        <v>6.5</v>
      </c>
      <c r="L53">
        <v>6.5</v>
      </c>
    </row>
    <row r="54" spans="10:12" x14ac:dyDescent="0.25">
      <c r="J54" s="199">
        <v>711552</v>
      </c>
      <c r="K54">
        <v>6.5</v>
      </c>
      <c r="L54">
        <v>6.5</v>
      </c>
    </row>
    <row r="55" spans="10:12" x14ac:dyDescent="0.25">
      <c r="J55" s="189" t="s">
        <v>387</v>
      </c>
      <c r="K55">
        <v>2.9</v>
      </c>
      <c r="L55">
        <v>2.9</v>
      </c>
    </row>
    <row r="56" spans="10:12" x14ac:dyDescent="0.25">
      <c r="J56" s="199">
        <v>711552</v>
      </c>
      <c r="K56">
        <v>2.9</v>
      </c>
      <c r="L56">
        <v>2.9</v>
      </c>
    </row>
    <row r="57" spans="10:12" x14ac:dyDescent="0.25">
      <c r="J57" s="189" t="s">
        <v>390</v>
      </c>
      <c r="K57">
        <v>120.6</v>
      </c>
      <c r="L57">
        <v>120.6</v>
      </c>
    </row>
    <row r="58" spans="10:12" x14ac:dyDescent="0.25">
      <c r="J58" s="199">
        <v>711552</v>
      </c>
      <c r="K58">
        <v>120.6</v>
      </c>
      <c r="L58">
        <v>120.6</v>
      </c>
    </row>
    <row r="59" spans="10:12" x14ac:dyDescent="0.25">
      <c r="J59" s="189" t="s">
        <v>389</v>
      </c>
      <c r="K59">
        <v>65</v>
      </c>
      <c r="L59">
        <v>65</v>
      </c>
    </row>
    <row r="60" spans="10:12" x14ac:dyDescent="0.25">
      <c r="J60" s="199">
        <v>711552</v>
      </c>
      <c r="K60">
        <v>65</v>
      </c>
      <c r="L60">
        <v>65</v>
      </c>
    </row>
    <row r="61" spans="10:12" x14ac:dyDescent="0.25">
      <c r="J61" s="189" t="s">
        <v>391</v>
      </c>
      <c r="K61">
        <v>40.299999999999997</v>
      </c>
      <c r="L61">
        <v>40.299999999999997</v>
      </c>
    </row>
    <row r="62" spans="10:12" x14ac:dyDescent="0.25">
      <c r="J62" s="199">
        <v>711552</v>
      </c>
      <c r="K62">
        <v>40.299999999999997</v>
      </c>
      <c r="L62">
        <v>40.299999999999997</v>
      </c>
    </row>
    <row r="63" spans="10:12" x14ac:dyDescent="0.25">
      <c r="J63" s="189" t="s">
        <v>393</v>
      </c>
      <c r="K63">
        <v>298.60000000000002</v>
      </c>
      <c r="L63">
        <v>298.60000000000002</v>
      </c>
    </row>
    <row r="64" spans="10:12" x14ac:dyDescent="0.25">
      <c r="J64" s="199">
        <v>711552</v>
      </c>
      <c r="K64">
        <v>298.60000000000002</v>
      </c>
      <c r="L64">
        <v>298.60000000000002</v>
      </c>
    </row>
    <row r="65" spans="10:12" x14ac:dyDescent="0.25">
      <c r="J65" s="189" t="s">
        <v>395</v>
      </c>
      <c r="K65">
        <v>4</v>
      </c>
      <c r="L65">
        <v>4</v>
      </c>
    </row>
    <row r="66" spans="10:12" x14ac:dyDescent="0.25">
      <c r="J66" s="199">
        <v>711552</v>
      </c>
      <c r="K66">
        <v>4</v>
      </c>
      <c r="L66">
        <v>4</v>
      </c>
    </row>
    <row r="67" spans="10:12" x14ac:dyDescent="0.25">
      <c r="J67" s="189" t="s">
        <v>397</v>
      </c>
      <c r="K67">
        <v>0.6</v>
      </c>
      <c r="L67">
        <v>0.6</v>
      </c>
    </row>
    <row r="68" spans="10:12" x14ac:dyDescent="0.25">
      <c r="J68" s="199">
        <v>711552</v>
      </c>
      <c r="K68">
        <v>0.6</v>
      </c>
      <c r="L68">
        <v>0.6</v>
      </c>
    </row>
    <row r="69" spans="10:12" x14ac:dyDescent="0.25">
      <c r="J69" s="189" t="s">
        <v>399</v>
      </c>
      <c r="K69">
        <v>0.8</v>
      </c>
      <c r="L69">
        <v>0.8</v>
      </c>
    </row>
    <row r="70" spans="10:12" x14ac:dyDescent="0.25">
      <c r="J70" s="199">
        <v>711552</v>
      </c>
      <c r="K70">
        <v>0.8</v>
      </c>
      <c r="L70">
        <v>0.8</v>
      </c>
    </row>
    <row r="71" spans="10:12" x14ac:dyDescent="0.25">
      <c r="J71" s="189" t="s">
        <v>400</v>
      </c>
      <c r="K71">
        <v>0.6</v>
      </c>
      <c r="L71">
        <v>0.6</v>
      </c>
    </row>
    <row r="72" spans="10:12" x14ac:dyDescent="0.25">
      <c r="J72" s="199">
        <v>711552</v>
      </c>
      <c r="K72">
        <v>0.6</v>
      </c>
      <c r="L72">
        <v>0.6</v>
      </c>
    </row>
    <row r="73" spans="10:12" x14ac:dyDescent="0.25">
      <c r="J73" s="189" t="s">
        <v>401</v>
      </c>
      <c r="K73">
        <v>36.200000000000003</v>
      </c>
      <c r="L73">
        <v>36.200000000000003</v>
      </c>
    </row>
    <row r="74" spans="10:12" x14ac:dyDescent="0.25">
      <c r="J74" s="199">
        <v>711552</v>
      </c>
      <c r="K74">
        <v>36.200000000000003</v>
      </c>
      <c r="L74">
        <v>36.200000000000003</v>
      </c>
    </row>
    <row r="75" spans="10:12" x14ac:dyDescent="0.25">
      <c r="J75" s="189" t="s">
        <v>403</v>
      </c>
      <c r="K75">
        <v>437</v>
      </c>
      <c r="L75">
        <v>437</v>
      </c>
    </row>
    <row r="76" spans="10:12" x14ac:dyDescent="0.25">
      <c r="J76" s="199">
        <v>711552</v>
      </c>
      <c r="K76">
        <v>437</v>
      </c>
      <c r="L76">
        <v>437</v>
      </c>
    </row>
    <row r="77" spans="10:12" x14ac:dyDescent="0.25">
      <c r="J77" s="189" t="s">
        <v>405</v>
      </c>
      <c r="K77">
        <v>1.02</v>
      </c>
      <c r="L77">
        <v>1.02</v>
      </c>
    </row>
    <row r="78" spans="10:12" x14ac:dyDescent="0.25">
      <c r="J78" s="199">
        <v>711552</v>
      </c>
      <c r="K78">
        <v>1.02</v>
      </c>
      <c r="L78">
        <v>1.02</v>
      </c>
    </row>
    <row r="79" spans="10:12" x14ac:dyDescent="0.25">
      <c r="J79" s="189" t="s">
        <v>408</v>
      </c>
      <c r="K79">
        <v>1.43</v>
      </c>
      <c r="L79">
        <v>1.43</v>
      </c>
    </row>
    <row r="80" spans="10:12" x14ac:dyDescent="0.25">
      <c r="J80" s="199">
        <v>711552</v>
      </c>
      <c r="K80">
        <v>1.43</v>
      </c>
      <c r="L80">
        <v>1.43</v>
      </c>
    </row>
    <row r="81" spans="10:12" x14ac:dyDescent="0.25">
      <c r="J81" s="189" t="s">
        <v>410</v>
      </c>
      <c r="K81">
        <v>0.1</v>
      </c>
      <c r="L81">
        <v>0.1</v>
      </c>
    </row>
    <row r="82" spans="10:12" x14ac:dyDescent="0.25">
      <c r="J82" s="199">
        <v>711552</v>
      </c>
      <c r="K82">
        <v>0.1</v>
      </c>
      <c r="L82">
        <v>0.1</v>
      </c>
    </row>
    <row r="83" spans="10:12" x14ac:dyDescent="0.25">
      <c r="J83" s="189" t="s">
        <v>413</v>
      </c>
      <c r="K83">
        <v>0.6</v>
      </c>
      <c r="L83">
        <v>0.6</v>
      </c>
    </row>
    <row r="84" spans="10:12" x14ac:dyDescent="0.25">
      <c r="J84" s="199">
        <v>711552</v>
      </c>
      <c r="K84">
        <v>0.6</v>
      </c>
      <c r="L84">
        <v>0.6</v>
      </c>
    </row>
    <row r="85" spans="10:12" x14ac:dyDescent="0.25">
      <c r="J85" s="189" t="s">
        <v>416</v>
      </c>
      <c r="K85">
        <v>57.4</v>
      </c>
      <c r="L85">
        <v>57.4</v>
      </c>
    </row>
    <row r="86" spans="10:12" x14ac:dyDescent="0.25">
      <c r="J86" s="199">
        <v>711552</v>
      </c>
      <c r="K86">
        <v>57.4</v>
      </c>
      <c r="L86">
        <v>57.4</v>
      </c>
    </row>
    <row r="87" spans="10:12" x14ac:dyDescent="0.25">
      <c r="J87" s="189" t="s">
        <v>418</v>
      </c>
      <c r="K87">
        <v>80.5</v>
      </c>
      <c r="L87">
        <v>80.5</v>
      </c>
    </row>
    <row r="88" spans="10:12" x14ac:dyDescent="0.25">
      <c r="J88" s="199">
        <v>711552</v>
      </c>
      <c r="K88">
        <v>80.5</v>
      </c>
      <c r="L88">
        <v>80.5</v>
      </c>
    </row>
    <row r="89" spans="10:12" x14ac:dyDescent="0.25">
      <c r="J89" s="189" t="s">
        <v>422</v>
      </c>
      <c r="K89">
        <v>4</v>
      </c>
      <c r="L89">
        <v>4</v>
      </c>
    </row>
    <row r="90" spans="10:12" x14ac:dyDescent="0.25">
      <c r="J90" s="199">
        <v>711552</v>
      </c>
      <c r="K90">
        <v>4</v>
      </c>
      <c r="L90">
        <v>4</v>
      </c>
    </row>
    <row r="91" spans="10:12" x14ac:dyDescent="0.25">
      <c r="J91" s="189" t="s">
        <v>420</v>
      </c>
      <c r="K91">
        <v>8</v>
      </c>
      <c r="L91">
        <v>8</v>
      </c>
    </row>
    <row r="92" spans="10:12" x14ac:dyDescent="0.25">
      <c r="J92" s="199">
        <v>711552</v>
      </c>
      <c r="K92">
        <v>8</v>
      </c>
      <c r="L92">
        <v>8</v>
      </c>
    </row>
    <row r="93" spans="10:12" x14ac:dyDescent="0.25">
      <c r="J93" s="189" t="s">
        <v>423</v>
      </c>
      <c r="K93">
        <v>533.6</v>
      </c>
      <c r="L93">
        <v>533.6</v>
      </c>
    </row>
    <row r="94" spans="10:12" x14ac:dyDescent="0.25">
      <c r="J94" s="199">
        <v>711552</v>
      </c>
      <c r="K94">
        <v>533.6</v>
      </c>
      <c r="L94">
        <v>533.6</v>
      </c>
    </row>
    <row r="95" spans="10:12" x14ac:dyDescent="0.25">
      <c r="J95" s="189" t="s">
        <v>425</v>
      </c>
      <c r="K95">
        <v>1.3</v>
      </c>
      <c r="L95">
        <v>1.3</v>
      </c>
    </row>
    <row r="96" spans="10:12" x14ac:dyDescent="0.25">
      <c r="J96" s="199">
        <v>711552</v>
      </c>
      <c r="K96">
        <v>1.3</v>
      </c>
      <c r="L96">
        <v>1.3</v>
      </c>
    </row>
    <row r="97" spans="10:12" x14ac:dyDescent="0.25">
      <c r="J97" s="189" t="s">
        <v>426</v>
      </c>
      <c r="K97">
        <v>40.299999999999997</v>
      </c>
      <c r="L97">
        <v>40.299999999999997</v>
      </c>
    </row>
    <row r="98" spans="10:12" x14ac:dyDescent="0.25">
      <c r="J98" s="199">
        <v>711552</v>
      </c>
      <c r="K98">
        <v>40.299999999999997</v>
      </c>
      <c r="L98">
        <v>40.299999999999997</v>
      </c>
    </row>
    <row r="99" spans="10:12" x14ac:dyDescent="0.25">
      <c r="J99" s="189" t="s">
        <v>428</v>
      </c>
      <c r="K99">
        <v>54</v>
      </c>
      <c r="L99">
        <v>54</v>
      </c>
    </row>
    <row r="100" spans="10:12" x14ac:dyDescent="0.25">
      <c r="J100" s="199">
        <v>711552</v>
      </c>
      <c r="K100">
        <v>54</v>
      </c>
      <c r="L100">
        <v>54</v>
      </c>
    </row>
    <row r="101" spans="10:12" x14ac:dyDescent="0.25">
      <c r="J101" s="189" t="s">
        <v>431</v>
      </c>
      <c r="K101">
        <v>37.9</v>
      </c>
      <c r="L101">
        <v>37.9</v>
      </c>
    </row>
    <row r="102" spans="10:12" x14ac:dyDescent="0.25">
      <c r="J102" s="199">
        <v>711552</v>
      </c>
      <c r="K102">
        <v>37.9</v>
      </c>
      <c r="L102">
        <v>37.9</v>
      </c>
    </row>
    <row r="103" spans="10:12" x14ac:dyDescent="0.25">
      <c r="J103" s="189" t="s">
        <v>434</v>
      </c>
      <c r="K103">
        <v>30.1</v>
      </c>
      <c r="L103">
        <v>30.1</v>
      </c>
    </row>
    <row r="104" spans="10:12" x14ac:dyDescent="0.25">
      <c r="J104" s="199">
        <v>711552</v>
      </c>
      <c r="K104">
        <v>30.1</v>
      </c>
      <c r="L104">
        <v>30.1</v>
      </c>
    </row>
    <row r="105" spans="10:12" x14ac:dyDescent="0.25">
      <c r="J105" s="189" t="s">
        <v>435</v>
      </c>
      <c r="K105">
        <v>373.8</v>
      </c>
      <c r="L105">
        <v>373.8</v>
      </c>
    </row>
    <row r="106" spans="10:12" x14ac:dyDescent="0.25">
      <c r="J106" s="199">
        <v>711552</v>
      </c>
      <c r="K106">
        <v>373.8</v>
      </c>
      <c r="L106">
        <v>373.8</v>
      </c>
    </row>
    <row r="107" spans="10:12" x14ac:dyDescent="0.25">
      <c r="J107" s="189" t="s">
        <v>437</v>
      </c>
      <c r="K107">
        <v>14.1</v>
      </c>
      <c r="L107">
        <v>14.1</v>
      </c>
    </row>
    <row r="108" spans="10:12" x14ac:dyDescent="0.25">
      <c r="J108" s="199">
        <v>711552</v>
      </c>
      <c r="K108">
        <v>14.1</v>
      </c>
      <c r="L108">
        <v>14.1</v>
      </c>
    </row>
    <row r="109" spans="10:12" x14ac:dyDescent="0.25">
      <c r="J109" s="189" t="s">
        <v>439</v>
      </c>
      <c r="K109">
        <v>65</v>
      </c>
      <c r="L109">
        <v>65</v>
      </c>
    </row>
    <row r="110" spans="10:12" x14ac:dyDescent="0.25">
      <c r="J110" s="199">
        <v>711552</v>
      </c>
      <c r="K110">
        <v>65</v>
      </c>
      <c r="L110">
        <v>65</v>
      </c>
    </row>
    <row r="111" spans="10:12" x14ac:dyDescent="0.25">
      <c r="J111" s="189" t="s">
        <v>441</v>
      </c>
      <c r="K111">
        <v>65</v>
      </c>
      <c r="L111">
        <v>65</v>
      </c>
    </row>
    <row r="112" spans="10:12" x14ac:dyDescent="0.25">
      <c r="J112" s="199">
        <v>711552</v>
      </c>
      <c r="K112">
        <v>65</v>
      </c>
      <c r="L112">
        <v>65</v>
      </c>
    </row>
    <row r="113" spans="10:12" x14ac:dyDescent="0.25">
      <c r="J113" s="189" t="s">
        <v>442</v>
      </c>
      <c r="K113">
        <v>84.74</v>
      </c>
      <c r="L113">
        <v>84.74</v>
      </c>
    </row>
    <row r="114" spans="10:12" x14ac:dyDescent="0.25">
      <c r="J114" s="199">
        <v>711552</v>
      </c>
      <c r="K114">
        <v>84.74</v>
      </c>
      <c r="L114">
        <v>84.74</v>
      </c>
    </row>
    <row r="115" spans="10:12" x14ac:dyDescent="0.25">
      <c r="J115" s="189" t="s">
        <v>444</v>
      </c>
      <c r="K115">
        <v>80.3</v>
      </c>
      <c r="L115">
        <v>80.3</v>
      </c>
    </row>
    <row r="116" spans="10:12" x14ac:dyDescent="0.25">
      <c r="J116" s="199">
        <v>711552</v>
      </c>
      <c r="K116">
        <v>80.3</v>
      </c>
      <c r="L116">
        <v>80.3</v>
      </c>
    </row>
    <row r="117" spans="10:12" x14ac:dyDescent="0.25">
      <c r="J117" s="189" t="s">
        <v>445</v>
      </c>
      <c r="K117">
        <v>60.5</v>
      </c>
      <c r="L117">
        <v>60.5</v>
      </c>
    </row>
    <row r="118" spans="10:12" x14ac:dyDescent="0.25">
      <c r="J118" s="199">
        <v>711552</v>
      </c>
      <c r="K118">
        <v>60.5</v>
      </c>
      <c r="L118">
        <v>60.5</v>
      </c>
    </row>
    <row r="119" spans="10:12" x14ac:dyDescent="0.25">
      <c r="J119" s="189" t="s">
        <v>446</v>
      </c>
      <c r="K119">
        <v>60.5</v>
      </c>
      <c r="L119">
        <v>60.5</v>
      </c>
    </row>
    <row r="120" spans="10:12" x14ac:dyDescent="0.25">
      <c r="J120" s="199">
        <v>711552</v>
      </c>
      <c r="K120">
        <v>60.5</v>
      </c>
      <c r="L120">
        <v>60.5</v>
      </c>
    </row>
    <row r="121" spans="10:12" x14ac:dyDescent="0.25">
      <c r="J121" s="189" t="s">
        <v>447</v>
      </c>
      <c r="K121">
        <v>33</v>
      </c>
      <c r="L121">
        <v>33</v>
      </c>
    </row>
    <row r="122" spans="10:12" x14ac:dyDescent="0.25">
      <c r="J122" s="199">
        <v>711552</v>
      </c>
      <c r="K122">
        <v>33</v>
      </c>
      <c r="L122">
        <v>33</v>
      </c>
    </row>
    <row r="123" spans="10:12" x14ac:dyDescent="0.25">
      <c r="J123" s="189" t="s">
        <v>449</v>
      </c>
      <c r="K123">
        <v>4</v>
      </c>
      <c r="L123">
        <v>4</v>
      </c>
    </row>
    <row r="124" spans="10:12" x14ac:dyDescent="0.25">
      <c r="J124" s="199">
        <v>711552</v>
      </c>
      <c r="K124">
        <v>4</v>
      </c>
      <c r="L124">
        <v>4</v>
      </c>
    </row>
    <row r="125" spans="10:12" x14ac:dyDescent="0.25">
      <c r="J125" s="189" t="s">
        <v>451</v>
      </c>
      <c r="K125">
        <v>453.2</v>
      </c>
      <c r="L125">
        <v>453.2</v>
      </c>
    </row>
    <row r="126" spans="10:12" x14ac:dyDescent="0.25">
      <c r="J126" s="199">
        <v>711552</v>
      </c>
      <c r="K126">
        <v>453.2</v>
      </c>
      <c r="L126">
        <v>453.2</v>
      </c>
    </row>
    <row r="127" spans="10:12" x14ac:dyDescent="0.25">
      <c r="J127" s="189" t="s">
        <v>453</v>
      </c>
      <c r="K127">
        <v>494.5</v>
      </c>
      <c r="L127">
        <v>494.5</v>
      </c>
    </row>
    <row r="128" spans="10:12" x14ac:dyDescent="0.25">
      <c r="J128" s="199">
        <v>711552</v>
      </c>
      <c r="K128">
        <v>494.5</v>
      </c>
      <c r="L128">
        <v>494.5</v>
      </c>
    </row>
    <row r="129" spans="10:12" x14ac:dyDescent="0.25">
      <c r="J129" s="189" t="s">
        <v>454</v>
      </c>
      <c r="K129">
        <v>48.4</v>
      </c>
      <c r="L129">
        <v>48.4</v>
      </c>
    </row>
    <row r="130" spans="10:12" x14ac:dyDescent="0.25">
      <c r="J130" s="199">
        <v>711552</v>
      </c>
      <c r="K130">
        <v>48.4</v>
      </c>
      <c r="L130">
        <v>48.4</v>
      </c>
    </row>
    <row r="131" spans="10:12" x14ac:dyDescent="0.25">
      <c r="J131" s="189" t="s">
        <v>456</v>
      </c>
      <c r="K131">
        <v>51.78</v>
      </c>
      <c r="L131">
        <v>51.78</v>
      </c>
    </row>
    <row r="132" spans="10:12" x14ac:dyDescent="0.25">
      <c r="J132" s="199">
        <v>711552</v>
      </c>
      <c r="K132">
        <v>51.78</v>
      </c>
      <c r="L132">
        <v>51.78</v>
      </c>
    </row>
    <row r="133" spans="10:12" x14ac:dyDescent="0.25">
      <c r="J133" s="189" t="s">
        <v>457</v>
      </c>
      <c r="K133">
        <v>25.3</v>
      </c>
      <c r="L133">
        <v>25.3</v>
      </c>
    </row>
    <row r="134" spans="10:12" x14ac:dyDescent="0.25">
      <c r="J134" s="199">
        <v>711552</v>
      </c>
      <c r="K134">
        <v>25.3</v>
      </c>
      <c r="L134">
        <v>25.3</v>
      </c>
    </row>
    <row r="135" spans="10:12" x14ac:dyDescent="0.25">
      <c r="J135" s="189" t="s">
        <v>460</v>
      </c>
      <c r="K135">
        <v>2.8</v>
      </c>
      <c r="L135">
        <v>2.8</v>
      </c>
    </row>
    <row r="136" spans="10:12" x14ac:dyDescent="0.25">
      <c r="J136" s="199">
        <v>711552</v>
      </c>
      <c r="K136">
        <v>2.8</v>
      </c>
      <c r="L136">
        <v>2.8</v>
      </c>
    </row>
    <row r="137" spans="10:12" x14ac:dyDescent="0.25">
      <c r="J137" s="189" t="s">
        <v>459</v>
      </c>
      <c r="K137">
        <v>14.8</v>
      </c>
      <c r="L137">
        <v>14.8</v>
      </c>
    </row>
    <row r="138" spans="10:12" x14ac:dyDescent="0.25">
      <c r="J138" s="199">
        <v>711552</v>
      </c>
      <c r="K138">
        <v>14.8</v>
      </c>
      <c r="L138">
        <v>14.8</v>
      </c>
    </row>
    <row r="139" spans="10:12" x14ac:dyDescent="0.25">
      <c r="J139" s="189" t="s">
        <v>461</v>
      </c>
      <c r="K139">
        <v>5.2</v>
      </c>
      <c r="L139">
        <v>5.2</v>
      </c>
    </row>
    <row r="140" spans="10:12" x14ac:dyDescent="0.25">
      <c r="J140" s="199">
        <v>711552</v>
      </c>
      <c r="K140">
        <v>5.2</v>
      </c>
      <c r="L140">
        <v>5.2</v>
      </c>
    </row>
    <row r="141" spans="10:12" x14ac:dyDescent="0.25">
      <c r="J141" s="189" t="s">
        <v>463</v>
      </c>
      <c r="K141">
        <v>3.1</v>
      </c>
      <c r="L141">
        <v>3.1</v>
      </c>
    </row>
    <row r="142" spans="10:12" x14ac:dyDescent="0.25">
      <c r="J142" s="199">
        <v>711552</v>
      </c>
      <c r="K142">
        <v>3.1</v>
      </c>
      <c r="L142">
        <v>3.1</v>
      </c>
    </row>
    <row r="143" spans="10:12" x14ac:dyDescent="0.25">
      <c r="J143" s="189" t="s">
        <v>465</v>
      </c>
      <c r="K143">
        <v>1.7</v>
      </c>
      <c r="L143">
        <v>1.7</v>
      </c>
    </row>
    <row r="144" spans="10:12" x14ac:dyDescent="0.25">
      <c r="J144" s="199">
        <v>711552</v>
      </c>
      <c r="K144">
        <v>1.7</v>
      </c>
      <c r="L144">
        <v>1.7</v>
      </c>
    </row>
    <row r="145" spans="10:12" x14ac:dyDescent="0.25">
      <c r="J145" s="189" t="s">
        <v>467</v>
      </c>
      <c r="K145">
        <v>56.65</v>
      </c>
      <c r="L145">
        <v>56.65</v>
      </c>
    </row>
    <row r="146" spans="10:12" x14ac:dyDescent="0.25">
      <c r="J146" s="199">
        <v>711552</v>
      </c>
      <c r="K146">
        <v>56.65</v>
      </c>
      <c r="L146">
        <v>56.65</v>
      </c>
    </row>
    <row r="147" spans="10:12" x14ac:dyDescent="0.25">
      <c r="J147" s="189" t="s">
        <v>469</v>
      </c>
      <c r="K147">
        <v>0.2</v>
      </c>
      <c r="L147">
        <v>0.2</v>
      </c>
    </row>
    <row r="148" spans="10:12" x14ac:dyDescent="0.25">
      <c r="J148" s="199">
        <v>711552</v>
      </c>
      <c r="K148">
        <v>0.2</v>
      </c>
      <c r="L148">
        <v>0.2</v>
      </c>
    </row>
    <row r="149" spans="10:12" x14ac:dyDescent="0.25">
      <c r="J149" s="189" t="s">
        <v>471</v>
      </c>
      <c r="K149">
        <v>0.6</v>
      </c>
      <c r="L149">
        <v>0.6</v>
      </c>
    </row>
    <row r="150" spans="10:12" x14ac:dyDescent="0.25">
      <c r="J150" s="199">
        <v>711552</v>
      </c>
      <c r="K150">
        <v>0.6</v>
      </c>
      <c r="L150">
        <v>0.6</v>
      </c>
    </row>
    <row r="151" spans="10:12" x14ac:dyDescent="0.25">
      <c r="J151" s="189" t="s">
        <v>473</v>
      </c>
      <c r="K151">
        <v>9.1999999999999993</v>
      </c>
      <c r="L151">
        <v>9.1999999999999993</v>
      </c>
    </row>
    <row r="152" spans="10:12" x14ac:dyDescent="0.25">
      <c r="J152" s="199">
        <v>711552</v>
      </c>
      <c r="K152">
        <v>9.1999999999999993</v>
      </c>
      <c r="L152">
        <v>9.1999999999999993</v>
      </c>
    </row>
    <row r="153" spans="10:12" x14ac:dyDescent="0.25">
      <c r="J153" s="189" t="s">
        <v>475</v>
      </c>
      <c r="K153">
        <v>21.3</v>
      </c>
      <c r="L153">
        <v>21.3</v>
      </c>
    </row>
    <row r="154" spans="10:12" x14ac:dyDescent="0.25">
      <c r="J154" s="199">
        <v>711552</v>
      </c>
      <c r="K154">
        <v>21.3</v>
      </c>
      <c r="L154">
        <v>21.3</v>
      </c>
    </row>
    <row r="155" spans="10:12" x14ac:dyDescent="0.25">
      <c r="J155" s="189" t="s">
        <v>476</v>
      </c>
      <c r="K155">
        <v>1.7</v>
      </c>
      <c r="L155">
        <v>1.7</v>
      </c>
    </row>
    <row r="156" spans="10:12" x14ac:dyDescent="0.25">
      <c r="J156" s="199">
        <v>711552</v>
      </c>
      <c r="K156">
        <v>1.7</v>
      </c>
      <c r="L156">
        <v>1.7</v>
      </c>
    </row>
    <row r="157" spans="10:12" x14ac:dyDescent="0.25">
      <c r="J157" s="189" t="s">
        <v>478</v>
      </c>
      <c r="K157">
        <v>2</v>
      </c>
      <c r="L157">
        <v>2</v>
      </c>
    </row>
    <row r="158" spans="10:12" x14ac:dyDescent="0.25">
      <c r="J158" s="199">
        <v>711552</v>
      </c>
      <c r="K158">
        <v>2</v>
      </c>
      <c r="L158">
        <v>2</v>
      </c>
    </row>
    <row r="159" spans="10:12" x14ac:dyDescent="0.25">
      <c r="J159" s="189" t="s">
        <v>479</v>
      </c>
      <c r="K159">
        <v>1.43</v>
      </c>
      <c r="L159">
        <v>1.43</v>
      </c>
    </row>
    <row r="160" spans="10:12" x14ac:dyDescent="0.25">
      <c r="J160" s="199">
        <v>711552</v>
      </c>
      <c r="K160">
        <v>1.43</v>
      </c>
      <c r="L160">
        <v>1.43</v>
      </c>
    </row>
    <row r="161" spans="10:12" x14ac:dyDescent="0.25">
      <c r="J161" s="189" t="s">
        <v>480</v>
      </c>
      <c r="K161">
        <v>1.43</v>
      </c>
      <c r="L161">
        <v>1.43</v>
      </c>
    </row>
    <row r="162" spans="10:12" x14ac:dyDescent="0.25">
      <c r="J162" s="199">
        <v>711552</v>
      </c>
      <c r="K162">
        <v>1.43</v>
      </c>
      <c r="L162">
        <v>1.43</v>
      </c>
    </row>
    <row r="163" spans="10:12" x14ac:dyDescent="0.25">
      <c r="J163" s="189" t="s">
        <v>481</v>
      </c>
      <c r="K163">
        <v>18.399999999999999</v>
      </c>
      <c r="L163">
        <v>18.399999999999999</v>
      </c>
    </row>
    <row r="164" spans="10:12" x14ac:dyDescent="0.25">
      <c r="J164" s="199">
        <v>711552</v>
      </c>
      <c r="K164">
        <v>18.399999999999999</v>
      </c>
      <c r="L164">
        <v>18.399999999999999</v>
      </c>
    </row>
    <row r="165" spans="10:12" x14ac:dyDescent="0.25">
      <c r="J165" s="189" t="s">
        <v>483</v>
      </c>
      <c r="K165">
        <v>574.29999999999995</v>
      </c>
      <c r="L165">
        <v>574.29999999999995</v>
      </c>
    </row>
    <row r="166" spans="10:12" x14ac:dyDescent="0.25">
      <c r="J166" s="199">
        <v>711552</v>
      </c>
      <c r="K166">
        <v>574.29999999999995</v>
      </c>
      <c r="L166">
        <v>574.29999999999995</v>
      </c>
    </row>
    <row r="167" spans="10:12" x14ac:dyDescent="0.25">
      <c r="J167" s="189" t="s">
        <v>485</v>
      </c>
      <c r="K167">
        <v>51.8</v>
      </c>
      <c r="L167">
        <v>51.8</v>
      </c>
    </row>
    <row r="168" spans="10:12" x14ac:dyDescent="0.25">
      <c r="J168" s="199">
        <v>711552</v>
      </c>
      <c r="K168">
        <v>51.8</v>
      </c>
      <c r="L168">
        <v>51.8</v>
      </c>
    </row>
    <row r="169" spans="10:12" x14ac:dyDescent="0.25">
      <c r="J169" s="189" t="s">
        <v>487</v>
      </c>
      <c r="K169">
        <v>65</v>
      </c>
      <c r="L169">
        <v>65</v>
      </c>
    </row>
    <row r="170" spans="10:12" x14ac:dyDescent="0.25">
      <c r="J170" s="199">
        <v>711552</v>
      </c>
      <c r="K170">
        <v>65</v>
      </c>
      <c r="L170">
        <v>65</v>
      </c>
    </row>
    <row r="171" spans="10:12" x14ac:dyDescent="0.25">
      <c r="J171" s="189" t="s">
        <v>489</v>
      </c>
      <c r="K171">
        <v>7.5</v>
      </c>
      <c r="L171">
        <v>7.5</v>
      </c>
    </row>
    <row r="172" spans="10:12" x14ac:dyDescent="0.25">
      <c r="J172" s="199">
        <v>711552</v>
      </c>
      <c r="K172">
        <v>7.5</v>
      </c>
      <c r="L172">
        <v>7.5</v>
      </c>
    </row>
    <row r="173" spans="10:12" x14ac:dyDescent="0.25">
      <c r="J173" s="179" t="s">
        <v>318</v>
      </c>
      <c r="K173">
        <v>7.7</v>
      </c>
      <c r="L173">
        <v>7.7</v>
      </c>
    </row>
    <row r="174" spans="10:12" x14ac:dyDescent="0.25">
      <c r="J174" s="189" t="s">
        <v>350</v>
      </c>
      <c r="K174">
        <v>1.9</v>
      </c>
      <c r="L174">
        <v>1.9</v>
      </c>
    </row>
    <row r="175" spans="10:12" x14ac:dyDescent="0.25">
      <c r="J175" s="199">
        <v>711552</v>
      </c>
      <c r="K175">
        <v>1.9</v>
      </c>
      <c r="L175">
        <v>1.9</v>
      </c>
    </row>
    <row r="176" spans="10:12" x14ac:dyDescent="0.25">
      <c r="J176" s="189" t="s">
        <v>352</v>
      </c>
      <c r="K176">
        <v>5.8</v>
      </c>
      <c r="L176">
        <v>5.8</v>
      </c>
    </row>
    <row r="177" spans="10:12" x14ac:dyDescent="0.25">
      <c r="J177" s="199">
        <v>711552</v>
      </c>
      <c r="K177">
        <v>5.8</v>
      </c>
      <c r="L177">
        <v>5.8</v>
      </c>
    </row>
    <row r="178" spans="10:12" x14ac:dyDescent="0.25">
      <c r="J178" s="179" t="s">
        <v>319</v>
      </c>
      <c r="K178">
        <v>5.8</v>
      </c>
      <c r="L178">
        <v>5.8</v>
      </c>
    </row>
    <row r="179" spans="10:12" x14ac:dyDescent="0.25">
      <c r="J179" s="189" t="s">
        <v>330</v>
      </c>
      <c r="K179">
        <v>5.8</v>
      </c>
      <c r="L179">
        <v>5.8</v>
      </c>
    </row>
    <row r="180" spans="10:12" x14ac:dyDescent="0.25">
      <c r="J180" s="199">
        <v>711552</v>
      </c>
      <c r="K180">
        <v>5.8</v>
      </c>
      <c r="L180">
        <v>5.8</v>
      </c>
    </row>
    <row r="181" spans="10:12" x14ac:dyDescent="0.25">
      <c r="J181" s="179" t="s">
        <v>320</v>
      </c>
      <c r="K181">
        <v>7.48</v>
      </c>
      <c r="L181">
        <v>7.48</v>
      </c>
    </row>
    <row r="182" spans="10:12" x14ac:dyDescent="0.25">
      <c r="J182" s="189" t="s">
        <v>354</v>
      </c>
      <c r="K182">
        <v>1.76</v>
      </c>
      <c r="L182">
        <v>1.76</v>
      </c>
    </row>
    <row r="183" spans="10:12" x14ac:dyDescent="0.25">
      <c r="J183" s="199">
        <v>711552</v>
      </c>
      <c r="K183">
        <v>1.76</v>
      </c>
      <c r="L183">
        <v>1.76</v>
      </c>
    </row>
    <row r="184" spans="10:12" x14ac:dyDescent="0.25">
      <c r="J184" s="189" t="s">
        <v>355</v>
      </c>
      <c r="K184">
        <v>5.72</v>
      </c>
      <c r="L184">
        <v>5.72</v>
      </c>
    </row>
    <row r="185" spans="10:12" x14ac:dyDescent="0.25">
      <c r="J185" s="199">
        <v>711552</v>
      </c>
      <c r="K185">
        <v>5.72</v>
      </c>
      <c r="L185">
        <v>5.72</v>
      </c>
    </row>
    <row r="186" spans="10:12" x14ac:dyDescent="0.25">
      <c r="J186" s="179" t="s">
        <v>289</v>
      </c>
      <c r="K186">
        <v>11.78</v>
      </c>
      <c r="L186">
        <v>11.78</v>
      </c>
    </row>
    <row r="187" spans="10:12" x14ac:dyDescent="0.25">
      <c r="J187" s="189" t="s">
        <v>338</v>
      </c>
      <c r="K187">
        <v>11.78</v>
      </c>
      <c r="L187">
        <v>11.78</v>
      </c>
    </row>
    <row r="188" spans="10:12" x14ac:dyDescent="0.25">
      <c r="J188" s="199">
        <v>711552</v>
      </c>
      <c r="K188">
        <v>11.78</v>
      </c>
      <c r="L188">
        <v>11.78</v>
      </c>
    </row>
    <row r="189" spans="10:12" x14ac:dyDescent="0.25">
      <c r="J189" s="179" t="s">
        <v>287</v>
      </c>
      <c r="K189">
        <v>89.7</v>
      </c>
      <c r="L189">
        <v>89.7</v>
      </c>
    </row>
    <row r="190" spans="10:12" x14ac:dyDescent="0.25">
      <c r="J190" s="189" t="s">
        <v>332</v>
      </c>
      <c r="K190">
        <v>61.6</v>
      </c>
      <c r="L190">
        <v>61.6</v>
      </c>
    </row>
    <row r="191" spans="10:12" x14ac:dyDescent="0.25">
      <c r="J191" s="199">
        <v>711552</v>
      </c>
      <c r="K191">
        <v>61.6</v>
      </c>
      <c r="L191">
        <v>61.6</v>
      </c>
    </row>
    <row r="192" spans="10:12" x14ac:dyDescent="0.25">
      <c r="J192" s="189" t="s">
        <v>336</v>
      </c>
      <c r="K192">
        <v>28.1</v>
      </c>
      <c r="L192">
        <v>28.1</v>
      </c>
    </row>
    <row r="193" spans="10:12" x14ac:dyDescent="0.25">
      <c r="J193" s="199">
        <v>711552</v>
      </c>
      <c r="K193">
        <v>28.1</v>
      </c>
      <c r="L193">
        <v>28.1</v>
      </c>
    </row>
    <row r="194" spans="10:12" x14ac:dyDescent="0.25">
      <c r="J194" s="179" t="s">
        <v>321</v>
      </c>
      <c r="K194">
        <v>8.01</v>
      </c>
      <c r="L194">
        <v>8.01</v>
      </c>
    </row>
    <row r="195" spans="10:12" x14ac:dyDescent="0.25">
      <c r="J195" s="189" t="s">
        <v>340</v>
      </c>
      <c r="K195">
        <v>6.8</v>
      </c>
      <c r="L195">
        <v>6.8</v>
      </c>
    </row>
    <row r="196" spans="10:12" x14ac:dyDescent="0.25">
      <c r="J196" s="199">
        <v>711552</v>
      </c>
      <c r="K196">
        <v>6.8</v>
      </c>
      <c r="L196">
        <v>6.8</v>
      </c>
    </row>
    <row r="197" spans="10:12" x14ac:dyDescent="0.25">
      <c r="J197" s="189" t="s">
        <v>353</v>
      </c>
      <c r="K197">
        <v>1.21</v>
      </c>
      <c r="L197">
        <v>1.21</v>
      </c>
    </row>
    <row r="198" spans="10:12" x14ac:dyDescent="0.25">
      <c r="J198" s="199">
        <v>711552</v>
      </c>
      <c r="K198">
        <v>1.21</v>
      </c>
      <c r="L198">
        <v>1.21</v>
      </c>
    </row>
    <row r="199" spans="10:12" x14ac:dyDescent="0.25">
      <c r="J199" s="179" t="s">
        <v>536</v>
      </c>
      <c r="K199">
        <v>23</v>
      </c>
      <c r="L199">
        <v>23</v>
      </c>
    </row>
    <row r="200" spans="10:12" x14ac:dyDescent="0.25">
      <c r="J200" s="189" t="s">
        <v>333</v>
      </c>
      <c r="K200">
        <v>23</v>
      </c>
      <c r="L200">
        <v>23</v>
      </c>
    </row>
    <row r="201" spans="10:12" x14ac:dyDescent="0.25">
      <c r="J201" s="199">
        <v>711552</v>
      </c>
      <c r="K201">
        <v>23</v>
      </c>
      <c r="L201">
        <v>23</v>
      </c>
    </row>
    <row r="202" spans="10:12" x14ac:dyDescent="0.25">
      <c r="J202" s="179" t="s">
        <v>291</v>
      </c>
      <c r="K202">
        <v>79.7</v>
      </c>
      <c r="L202">
        <v>79.7</v>
      </c>
    </row>
    <row r="203" spans="10:12" x14ac:dyDescent="0.25">
      <c r="J203" s="189" t="s">
        <v>343</v>
      </c>
      <c r="K203">
        <v>3</v>
      </c>
      <c r="L203">
        <v>3</v>
      </c>
    </row>
    <row r="204" spans="10:12" x14ac:dyDescent="0.25">
      <c r="J204" s="199">
        <v>711552</v>
      </c>
      <c r="K204">
        <v>3</v>
      </c>
      <c r="L204">
        <v>3</v>
      </c>
    </row>
    <row r="205" spans="10:12" x14ac:dyDescent="0.25">
      <c r="J205" s="189" t="s">
        <v>347</v>
      </c>
      <c r="K205">
        <v>71.099999999999994</v>
      </c>
      <c r="L205">
        <v>71.099999999999994</v>
      </c>
    </row>
    <row r="206" spans="10:12" x14ac:dyDescent="0.25">
      <c r="J206" s="199">
        <v>711552</v>
      </c>
      <c r="K206">
        <v>71.099999999999994</v>
      </c>
      <c r="L206">
        <v>71.099999999999994</v>
      </c>
    </row>
    <row r="207" spans="10:12" x14ac:dyDescent="0.25">
      <c r="J207" s="189" t="s">
        <v>348</v>
      </c>
      <c r="K207">
        <v>5.6</v>
      </c>
      <c r="L207">
        <v>5.6</v>
      </c>
    </row>
    <row r="208" spans="10:12" x14ac:dyDescent="0.25">
      <c r="J208" s="199">
        <v>711552</v>
      </c>
      <c r="K208">
        <v>5.6</v>
      </c>
      <c r="L208">
        <v>5.6</v>
      </c>
    </row>
    <row r="209" spans="10:12" x14ac:dyDescent="0.25">
      <c r="J209" s="179" t="s">
        <v>322</v>
      </c>
      <c r="K209">
        <v>73.8</v>
      </c>
      <c r="L209">
        <v>73.8</v>
      </c>
    </row>
    <row r="210" spans="10:12" x14ac:dyDescent="0.25">
      <c r="J210" s="189" t="s">
        <v>344</v>
      </c>
      <c r="K210">
        <v>13.8</v>
      </c>
      <c r="L210">
        <v>13.8</v>
      </c>
    </row>
    <row r="211" spans="10:12" x14ac:dyDescent="0.25">
      <c r="J211" s="199">
        <v>711552</v>
      </c>
      <c r="K211">
        <v>13.8</v>
      </c>
      <c r="L211">
        <v>13.8</v>
      </c>
    </row>
    <row r="212" spans="10:12" x14ac:dyDescent="0.25">
      <c r="J212" s="189" t="s">
        <v>345</v>
      </c>
      <c r="K212">
        <v>60</v>
      </c>
      <c r="L212">
        <v>60</v>
      </c>
    </row>
    <row r="213" spans="10:12" x14ac:dyDescent="0.25">
      <c r="J213" s="199">
        <v>711552</v>
      </c>
      <c r="K213">
        <v>60</v>
      </c>
      <c r="L213">
        <v>60</v>
      </c>
    </row>
    <row r="214" spans="10:12" x14ac:dyDescent="0.25">
      <c r="J214" s="179" t="s">
        <v>308</v>
      </c>
      <c r="K214">
        <v>5180.55</v>
      </c>
      <c r="L214">
        <v>5180.55</v>
      </c>
    </row>
  </sheetData>
  <hyperlinks>
    <hyperlink ref="E4" r:id="rId3" xr:uid="{00000000-0004-0000-0400-000000000000}"/>
    <hyperlink ref="E19" r:id="rId4" xr:uid="{00000000-0004-0000-0400-000001000000}"/>
  </hyperlinks>
  <pageMargins left="0.7" right="0.7" top="0.75" bottom="0.75" header="0.3" footer="0.3"/>
  <tableParts count="1"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G18"/>
  <sheetViews>
    <sheetView workbookViewId="0">
      <selection activeCell="F27" sqref="F27"/>
    </sheetView>
  </sheetViews>
  <sheetFormatPr baseColWidth="10" defaultRowHeight="15" x14ac:dyDescent="0.25"/>
  <cols>
    <col min="1" max="1" width="6.85546875" bestFit="1" customWidth="1"/>
    <col min="2" max="2" width="16.5703125" customWidth="1"/>
    <col min="3" max="3" width="8.140625" bestFit="1" customWidth="1"/>
    <col min="6" max="6" width="15" customWidth="1"/>
    <col min="7" max="7" width="15.7109375" customWidth="1"/>
  </cols>
  <sheetData>
    <row r="2" spans="1:7" x14ac:dyDescent="0.25">
      <c r="A2" t="s">
        <v>259</v>
      </c>
      <c r="B2" t="s">
        <v>265</v>
      </c>
      <c r="C2" t="s">
        <v>324</v>
      </c>
      <c r="D2" t="s">
        <v>284</v>
      </c>
      <c r="E2" t="s">
        <v>323</v>
      </c>
      <c r="F2" t="s">
        <v>325</v>
      </c>
      <c r="G2" t="s">
        <v>326</v>
      </c>
    </row>
    <row r="3" spans="1:7" x14ac:dyDescent="0.25">
      <c r="A3">
        <v>1</v>
      </c>
      <c r="B3" t="s">
        <v>491</v>
      </c>
      <c r="C3" t="s">
        <v>492</v>
      </c>
      <c r="D3">
        <v>18.75</v>
      </c>
      <c r="E3" s="190">
        <v>43953</v>
      </c>
      <c r="F3">
        <v>150</v>
      </c>
      <c r="G3">
        <v>150</v>
      </c>
    </row>
    <row r="4" spans="1:7" x14ac:dyDescent="0.25">
      <c r="A4">
        <v>2</v>
      </c>
      <c r="B4" t="s">
        <v>493</v>
      </c>
      <c r="C4" t="s">
        <v>492</v>
      </c>
      <c r="D4">
        <v>22.5</v>
      </c>
      <c r="E4" s="190">
        <v>43953</v>
      </c>
      <c r="F4">
        <v>180</v>
      </c>
      <c r="G4">
        <v>140</v>
      </c>
    </row>
    <row r="5" spans="1:7" x14ac:dyDescent="0.25">
      <c r="A5">
        <v>3</v>
      </c>
      <c r="B5" t="s">
        <v>494</v>
      </c>
      <c r="C5" t="s">
        <v>492</v>
      </c>
      <c r="D5">
        <v>15</v>
      </c>
      <c r="E5" s="190">
        <v>43953</v>
      </c>
      <c r="F5">
        <v>120</v>
      </c>
      <c r="G5">
        <v>110</v>
      </c>
    </row>
    <row r="6" spans="1:7" x14ac:dyDescent="0.25">
      <c r="A6">
        <v>4</v>
      </c>
      <c r="B6" t="s">
        <v>495</v>
      </c>
      <c r="C6" t="s">
        <v>492</v>
      </c>
      <c r="D6">
        <v>15</v>
      </c>
      <c r="E6" s="190">
        <v>43953</v>
      </c>
      <c r="F6">
        <v>120</v>
      </c>
      <c r="G6">
        <v>180</v>
      </c>
    </row>
    <row r="7" spans="1:7" x14ac:dyDescent="0.25">
      <c r="A7">
        <v>5</v>
      </c>
      <c r="B7" t="s">
        <v>496</v>
      </c>
      <c r="C7" t="s">
        <v>492</v>
      </c>
      <c r="D7">
        <v>22.5</v>
      </c>
      <c r="E7" s="190">
        <v>43953</v>
      </c>
      <c r="F7">
        <v>180</v>
      </c>
      <c r="G7">
        <v>180</v>
      </c>
    </row>
    <row r="8" spans="1:7" x14ac:dyDescent="0.25">
      <c r="A8">
        <v>6</v>
      </c>
      <c r="B8" t="s">
        <v>497</v>
      </c>
      <c r="C8" t="s">
        <v>492</v>
      </c>
      <c r="D8">
        <v>18.75</v>
      </c>
      <c r="E8" s="190">
        <v>43953</v>
      </c>
      <c r="F8">
        <v>150</v>
      </c>
    </row>
    <row r="9" spans="1:7" x14ac:dyDescent="0.25">
      <c r="A9">
        <v>7</v>
      </c>
      <c r="B9" t="s">
        <v>498</v>
      </c>
      <c r="C9" t="s">
        <v>492</v>
      </c>
      <c r="D9">
        <v>22.5</v>
      </c>
      <c r="E9" s="190">
        <v>43953</v>
      </c>
      <c r="F9">
        <v>180</v>
      </c>
    </row>
    <row r="10" spans="1:7" x14ac:dyDescent="0.25">
      <c r="A10">
        <v>8</v>
      </c>
      <c r="B10" t="s">
        <v>499</v>
      </c>
      <c r="C10" t="s">
        <v>492</v>
      </c>
      <c r="D10">
        <v>22.5</v>
      </c>
      <c r="E10" s="190">
        <v>43953</v>
      </c>
      <c r="F10">
        <v>180</v>
      </c>
    </row>
    <row r="11" spans="1:7" x14ac:dyDescent="0.25">
      <c r="A11">
        <v>9</v>
      </c>
      <c r="B11" t="s">
        <v>500</v>
      </c>
      <c r="C11" t="s">
        <v>492</v>
      </c>
      <c r="D11">
        <v>22.5</v>
      </c>
      <c r="E11" s="190">
        <v>43953</v>
      </c>
      <c r="F11">
        <v>180</v>
      </c>
    </row>
    <row r="12" spans="1:7" x14ac:dyDescent="0.25">
      <c r="A12">
        <v>10</v>
      </c>
      <c r="B12" t="s">
        <v>501</v>
      </c>
      <c r="C12" t="s">
        <v>492</v>
      </c>
      <c r="D12">
        <v>25</v>
      </c>
      <c r="E12" s="190">
        <v>43953</v>
      </c>
      <c r="F12">
        <v>200</v>
      </c>
    </row>
    <row r="13" spans="1:7" x14ac:dyDescent="0.25">
      <c r="A13">
        <v>11</v>
      </c>
      <c r="B13" t="s">
        <v>502</v>
      </c>
      <c r="C13" t="s">
        <v>492</v>
      </c>
      <c r="D13">
        <v>25</v>
      </c>
      <c r="E13" s="190">
        <v>43953</v>
      </c>
      <c r="F13">
        <v>200</v>
      </c>
    </row>
    <row r="14" spans="1:7" x14ac:dyDescent="0.25">
      <c r="A14">
        <v>12</v>
      </c>
      <c r="B14" t="s">
        <v>503</v>
      </c>
      <c r="C14" t="s">
        <v>492</v>
      </c>
      <c r="D14">
        <v>25</v>
      </c>
      <c r="E14" s="190">
        <v>43953</v>
      </c>
      <c r="F14">
        <v>200</v>
      </c>
    </row>
    <row r="15" spans="1:7" x14ac:dyDescent="0.25">
      <c r="A15">
        <v>13</v>
      </c>
      <c r="B15" t="s">
        <v>504</v>
      </c>
      <c r="C15" t="s">
        <v>492</v>
      </c>
      <c r="D15">
        <v>22.5</v>
      </c>
      <c r="E15" s="190">
        <v>43953</v>
      </c>
      <c r="F15">
        <v>180</v>
      </c>
    </row>
    <row r="16" spans="1:7" x14ac:dyDescent="0.25">
      <c r="A16">
        <v>14</v>
      </c>
      <c r="B16" t="s">
        <v>505</v>
      </c>
      <c r="C16" t="s">
        <v>492</v>
      </c>
      <c r="D16">
        <v>13.75</v>
      </c>
      <c r="E16" s="190">
        <v>43953</v>
      </c>
      <c r="F16">
        <v>110</v>
      </c>
    </row>
    <row r="17" spans="1:6" x14ac:dyDescent="0.25">
      <c r="A17">
        <v>15</v>
      </c>
      <c r="B17" t="s">
        <v>506</v>
      </c>
      <c r="C17" t="s">
        <v>492</v>
      </c>
      <c r="D17">
        <v>18.75</v>
      </c>
      <c r="E17" s="190">
        <v>43953</v>
      </c>
      <c r="F17">
        <v>150</v>
      </c>
    </row>
    <row r="18" spans="1:6" x14ac:dyDescent="0.25">
      <c r="A18">
        <v>16</v>
      </c>
      <c r="B18" t="s">
        <v>507</v>
      </c>
      <c r="C18" t="s">
        <v>492</v>
      </c>
      <c r="D18">
        <v>18.75</v>
      </c>
      <c r="E18" s="190">
        <v>43953</v>
      </c>
      <c r="F18">
        <v>150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E7"/>
  <sheetViews>
    <sheetView tabSelected="1" workbookViewId="0">
      <selection activeCell="E18" sqref="E18"/>
    </sheetView>
  </sheetViews>
  <sheetFormatPr baseColWidth="10" defaultRowHeight="15" x14ac:dyDescent="0.25"/>
  <cols>
    <col min="2" max="2" width="17.28515625" bestFit="1" customWidth="1"/>
  </cols>
  <sheetData>
    <row r="2" spans="1:5" x14ac:dyDescent="0.25">
      <c r="A2" t="s">
        <v>259</v>
      </c>
      <c r="B2" t="s">
        <v>265</v>
      </c>
      <c r="C2" t="s">
        <v>324</v>
      </c>
      <c r="D2" t="s">
        <v>284</v>
      </c>
      <c r="E2" t="s">
        <v>323</v>
      </c>
    </row>
    <row r="3" spans="1:5" x14ac:dyDescent="0.25">
      <c r="A3">
        <v>1</v>
      </c>
      <c r="B3" t="s">
        <v>508</v>
      </c>
      <c r="C3" t="s">
        <v>509</v>
      </c>
      <c r="D3">
        <v>200</v>
      </c>
      <c r="E3" s="190">
        <v>43953</v>
      </c>
    </row>
    <row r="4" spans="1:5" x14ac:dyDescent="0.25">
      <c r="A4">
        <v>2</v>
      </c>
      <c r="B4" t="s">
        <v>510</v>
      </c>
      <c r="C4" t="s">
        <v>509</v>
      </c>
      <c r="D4">
        <v>150</v>
      </c>
      <c r="E4" s="190">
        <v>43953</v>
      </c>
    </row>
    <row r="5" spans="1:5" x14ac:dyDescent="0.25">
      <c r="A5">
        <v>3</v>
      </c>
      <c r="B5" t="s">
        <v>511</v>
      </c>
      <c r="C5" t="s">
        <v>509</v>
      </c>
      <c r="D5">
        <v>20</v>
      </c>
      <c r="E5" s="190">
        <v>43953</v>
      </c>
    </row>
    <row r="6" spans="1:5" x14ac:dyDescent="0.25">
      <c r="A6">
        <v>4</v>
      </c>
      <c r="B6" t="s">
        <v>512</v>
      </c>
      <c r="C6" t="s">
        <v>509</v>
      </c>
      <c r="D6">
        <v>18</v>
      </c>
      <c r="E6" s="190">
        <v>43953</v>
      </c>
    </row>
    <row r="7" spans="1:5" x14ac:dyDescent="0.25">
      <c r="A7">
        <v>5</v>
      </c>
      <c r="E7" s="190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G54"/>
  <sheetViews>
    <sheetView topLeftCell="E1" zoomScaleNormal="100" workbookViewId="0">
      <selection activeCell="G20" sqref="G20"/>
    </sheetView>
  </sheetViews>
  <sheetFormatPr baseColWidth="10" defaultRowHeight="15" x14ac:dyDescent="0.25"/>
  <cols>
    <col min="1" max="1" width="6.140625" bestFit="1" customWidth="1"/>
    <col min="2" max="2" width="53.5703125" bestFit="1" customWidth="1"/>
    <col min="3" max="3" width="9.85546875" bestFit="1" customWidth="1"/>
    <col min="4" max="4" width="10.28515625" bestFit="1" customWidth="1"/>
    <col min="5" max="5" width="9.85546875" bestFit="1" customWidth="1"/>
    <col min="6" max="6" width="9.7109375" bestFit="1" customWidth="1"/>
    <col min="7" max="7" width="29" bestFit="1" customWidth="1"/>
  </cols>
  <sheetData>
    <row r="2" spans="1:7" ht="45" x14ac:dyDescent="0.25">
      <c r="A2" s="196" t="s">
        <v>259</v>
      </c>
      <c r="B2" s="196" t="s">
        <v>2</v>
      </c>
      <c r="C2" s="198" t="s">
        <v>526</v>
      </c>
      <c r="D2" s="197" t="s">
        <v>525</v>
      </c>
      <c r="E2" s="198" t="s">
        <v>527</v>
      </c>
      <c r="F2" s="226" t="s">
        <v>513</v>
      </c>
      <c r="G2" s="226"/>
    </row>
    <row r="3" spans="1:7" x14ac:dyDescent="0.25">
      <c r="A3" s="18" t="s">
        <v>124</v>
      </c>
      <c r="B3" s="18" t="s">
        <v>18</v>
      </c>
      <c r="C3" s="194">
        <v>44007</v>
      </c>
      <c r="D3" s="195">
        <v>1</v>
      </c>
      <c r="E3" s="194">
        <f>WORKDAY(C3-1,D3,$F$3:$F$14)</f>
        <v>44007</v>
      </c>
      <c r="F3" s="194">
        <v>43831</v>
      </c>
      <c r="G3" s="154" t="s">
        <v>514</v>
      </c>
    </row>
    <row r="4" spans="1:7" x14ac:dyDescent="0.25">
      <c r="A4" s="18" t="s">
        <v>125</v>
      </c>
      <c r="B4" s="18" t="s">
        <v>19</v>
      </c>
      <c r="C4" s="194">
        <f>E3</f>
        <v>44007</v>
      </c>
      <c r="D4" s="195">
        <v>3</v>
      </c>
      <c r="E4" s="194">
        <f t="shared" ref="E4:E54" si="0">WORKDAY(C4-1,D4,$F$3:$F$14)</f>
        <v>44011</v>
      </c>
      <c r="F4" s="194">
        <v>43852</v>
      </c>
      <c r="G4" s="154" t="s">
        <v>515</v>
      </c>
    </row>
    <row r="5" spans="1:7" x14ac:dyDescent="0.25">
      <c r="A5" s="18" t="s">
        <v>126</v>
      </c>
      <c r="B5" s="18" t="s">
        <v>30</v>
      </c>
      <c r="C5" s="194">
        <f t="shared" ref="C5:C54" si="1">E4</f>
        <v>44011</v>
      </c>
      <c r="D5" s="195">
        <v>12</v>
      </c>
      <c r="E5" s="194">
        <f t="shared" si="0"/>
        <v>44026</v>
      </c>
      <c r="F5" s="194">
        <v>43885</v>
      </c>
      <c r="G5" s="154" t="s">
        <v>516</v>
      </c>
    </row>
    <row r="6" spans="1:7" x14ac:dyDescent="0.25">
      <c r="A6" s="18" t="s">
        <v>127</v>
      </c>
      <c r="B6" s="18" t="s">
        <v>31</v>
      </c>
      <c r="C6" s="194">
        <f t="shared" si="1"/>
        <v>44026</v>
      </c>
      <c r="D6" s="195">
        <v>15</v>
      </c>
      <c r="E6" s="194">
        <f t="shared" si="0"/>
        <v>44046</v>
      </c>
      <c r="F6" s="194">
        <v>43886</v>
      </c>
      <c r="G6" s="154" t="s">
        <v>516</v>
      </c>
    </row>
    <row r="7" spans="1:7" x14ac:dyDescent="0.25">
      <c r="A7" s="18" t="s">
        <v>128</v>
      </c>
      <c r="B7" s="18" t="s">
        <v>32</v>
      </c>
      <c r="C7" s="194">
        <f t="shared" si="1"/>
        <v>44046</v>
      </c>
      <c r="D7" s="195">
        <v>6</v>
      </c>
      <c r="E7" s="194">
        <f t="shared" si="0"/>
        <v>44054</v>
      </c>
      <c r="F7" s="194">
        <v>43931</v>
      </c>
      <c r="G7" s="154" t="s">
        <v>517</v>
      </c>
    </row>
    <row r="8" spans="1:7" x14ac:dyDescent="0.25">
      <c r="A8" s="18" t="s">
        <v>129</v>
      </c>
      <c r="B8" s="18" t="s">
        <v>33</v>
      </c>
      <c r="C8" s="194">
        <f t="shared" si="1"/>
        <v>44054</v>
      </c>
      <c r="D8" s="195">
        <v>4</v>
      </c>
      <c r="E8" s="194">
        <f t="shared" si="0"/>
        <v>44057</v>
      </c>
      <c r="F8" s="194">
        <v>43952</v>
      </c>
      <c r="G8" s="154" t="s">
        <v>518</v>
      </c>
    </row>
    <row r="9" spans="1:7" x14ac:dyDescent="0.25">
      <c r="A9" s="18" t="s">
        <v>130</v>
      </c>
      <c r="B9" s="18" t="s">
        <v>23</v>
      </c>
      <c r="C9" s="194">
        <f t="shared" si="1"/>
        <v>44057</v>
      </c>
      <c r="D9" s="195">
        <v>4</v>
      </c>
      <c r="E9" s="194">
        <f t="shared" si="0"/>
        <v>44062</v>
      </c>
      <c r="F9" s="194">
        <v>43993</v>
      </c>
      <c r="G9" s="154" t="s">
        <v>519</v>
      </c>
    </row>
    <row r="10" spans="1:7" x14ac:dyDescent="0.25">
      <c r="A10" s="18" t="s">
        <v>131</v>
      </c>
      <c r="B10" s="18" t="s">
        <v>34</v>
      </c>
      <c r="C10" s="194">
        <f t="shared" si="1"/>
        <v>44062</v>
      </c>
      <c r="D10" s="195">
        <v>1</v>
      </c>
      <c r="E10" s="194">
        <f t="shared" si="0"/>
        <v>44062</v>
      </c>
      <c r="F10" s="194">
        <v>44003</v>
      </c>
      <c r="G10" s="154" t="s">
        <v>520</v>
      </c>
    </row>
    <row r="11" spans="1:7" x14ac:dyDescent="0.25">
      <c r="A11" s="18" t="s">
        <v>132</v>
      </c>
      <c r="B11" s="18" t="s">
        <v>36</v>
      </c>
      <c r="C11" s="194">
        <f t="shared" si="1"/>
        <v>44062</v>
      </c>
      <c r="D11" s="195">
        <v>20</v>
      </c>
      <c r="E11" s="194">
        <f t="shared" si="0"/>
        <v>44089</v>
      </c>
      <c r="F11" s="194">
        <v>44049</v>
      </c>
      <c r="G11" s="154" t="s">
        <v>521</v>
      </c>
    </row>
    <row r="12" spans="1:7" x14ac:dyDescent="0.25">
      <c r="A12" s="18" t="s">
        <v>133</v>
      </c>
      <c r="B12" s="18" t="s">
        <v>37</v>
      </c>
      <c r="C12" s="194">
        <v>44079</v>
      </c>
      <c r="D12" s="195">
        <v>15</v>
      </c>
      <c r="E12" s="194">
        <f t="shared" si="0"/>
        <v>44099</v>
      </c>
      <c r="F12" s="194">
        <v>44137</v>
      </c>
      <c r="G12" s="154" t="s">
        <v>522</v>
      </c>
    </row>
    <row r="13" spans="1:7" x14ac:dyDescent="0.25">
      <c r="A13" s="18" t="s">
        <v>134</v>
      </c>
      <c r="B13" s="18" t="s">
        <v>38</v>
      </c>
      <c r="C13" s="194">
        <v>44089</v>
      </c>
      <c r="D13" s="195">
        <v>6</v>
      </c>
      <c r="E13" s="194">
        <f t="shared" si="0"/>
        <v>44096</v>
      </c>
      <c r="F13" s="194">
        <v>44145</v>
      </c>
      <c r="G13" s="154" t="s">
        <v>523</v>
      </c>
    </row>
    <row r="14" spans="1:7" x14ac:dyDescent="0.25">
      <c r="A14" s="18" t="s">
        <v>20</v>
      </c>
      <c r="B14" s="18" t="s">
        <v>25</v>
      </c>
      <c r="C14" s="194">
        <f t="shared" si="1"/>
        <v>44096</v>
      </c>
      <c r="D14" s="195">
        <v>13</v>
      </c>
      <c r="E14" s="194">
        <f t="shared" si="0"/>
        <v>44112</v>
      </c>
      <c r="F14" s="194">
        <v>44190</v>
      </c>
      <c r="G14" s="154" t="s">
        <v>524</v>
      </c>
    </row>
    <row r="15" spans="1:7" x14ac:dyDescent="0.25">
      <c r="A15" s="18" t="s">
        <v>21</v>
      </c>
      <c r="B15" s="18" t="s">
        <v>528</v>
      </c>
      <c r="C15" s="194">
        <f t="shared" si="1"/>
        <v>44112</v>
      </c>
      <c r="D15" s="195">
        <v>10</v>
      </c>
      <c r="E15" s="194">
        <f t="shared" si="0"/>
        <v>44125</v>
      </c>
    </row>
    <row r="16" spans="1:7" x14ac:dyDescent="0.25">
      <c r="A16" s="18" t="s">
        <v>22</v>
      </c>
      <c r="B16" s="18" t="s">
        <v>26</v>
      </c>
      <c r="C16" s="194">
        <f t="shared" si="1"/>
        <v>44125</v>
      </c>
      <c r="D16" s="195">
        <v>1</v>
      </c>
      <c r="E16" s="194">
        <f t="shared" si="0"/>
        <v>44125</v>
      </c>
    </row>
    <row r="17" spans="1:7" x14ac:dyDescent="0.25">
      <c r="A17" s="18" t="s">
        <v>24</v>
      </c>
      <c r="B17" s="18" t="s">
        <v>122</v>
      </c>
      <c r="C17" s="194">
        <f t="shared" si="1"/>
        <v>44125</v>
      </c>
      <c r="D17" s="195">
        <v>15</v>
      </c>
      <c r="E17" s="194">
        <f t="shared" si="0"/>
        <v>44147</v>
      </c>
    </row>
    <row r="18" spans="1:7" x14ac:dyDescent="0.25">
      <c r="A18" s="18" t="s">
        <v>121</v>
      </c>
      <c r="B18" s="18" t="s">
        <v>529</v>
      </c>
      <c r="C18" s="194">
        <f t="shared" si="1"/>
        <v>44147</v>
      </c>
      <c r="D18" s="195">
        <v>1</v>
      </c>
      <c r="E18" s="194">
        <f t="shared" si="0"/>
        <v>44147</v>
      </c>
      <c r="F18" t="s">
        <v>532</v>
      </c>
      <c r="G18" s="164">
        <f>C3</f>
        <v>44007</v>
      </c>
    </row>
    <row r="19" spans="1:7" x14ac:dyDescent="0.25">
      <c r="A19" s="18" t="s">
        <v>39</v>
      </c>
      <c r="B19" s="18" t="s">
        <v>530</v>
      </c>
      <c r="C19" s="194">
        <f t="shared" si="1"/>
        <v>44147</v>
      </c>
      <c r="D19" s="195">
        <v>6</v>
      </c>
      <c r="E19" s="194">
        <f t="shared" si="0"/>
        <v>44154</v>
      </c>
      <c r="F19" t="s">
        <v>533</v>
      </c>
      <c r="G19" s="164">
        <f>E54</f>
        <v>44434</v>
      </c>
    </row>
    <row r="20" spans="1:7" x14ac:dyDescent="0.25">
      <c r="A20" s="18" t="s">
        <v>40</v>
      </c>
      <c r="B20" s="18" t="s">
        <v>531</v>
      </c>
      <c r="C20" s="194">
        <f t="shared" si="1"/>
        <v>44154</v>
      </c>
      <c r="D20" s="195">
        <v>10</v>
      </c>
      <c r="E20" s="194">
        <f t="shared" si="0"/>
        <v>44167</v>
      </c>
    </row>
    <row r="21" spans="1:7" x14ac:dyDescent="0.25">
      <c r="A21" s="18" t="s">
        <v>41</v>
      </c>
      <c r="B21" s="18" t="s">
        <v>64</v>
      </c>
      <c r="C21" s="194">
        <f t="shared" si="1"/>
        <v>44167</v>
      </c>
      <c r="D21" s="195">
        <v>8</v>
      </c>
      <c r="E21" s="194">
        <f t="shared" si="0"/>
        <v>44176</v>
      </c>
    </row>
    <row r="22" spans="1:7" x14ac:dyDescent="0.25">
      <c r="A22" s="18" t="s">
        <v>42</v>
      </c>
      <c r="B22" s="18" t="s">
        <v>65</v>
      </c>
      <c r="C22" s="194">
        <f t="shared" si="1"/>
        <v>44176</v>
      </c>
      <c r="D22" s="195">
        <v>8</v>
      </c>
      <c r="E22" s="194">
        <f t="shared" si="0"/>
        <v>44187</v>
      </c>
    </row>
    <row r="23" spans="1:7" x14ac:dyDescent="0.25">
      <c r="A23" s="18" t="s">
        <v>43</v>
      </c>
      <c r="B23" s="18" t="s">
        <v>66</v>
      </c>
      <c r="C23" s="194">
        <f t="shared" si="1"/>
        <v>44187</v>
      </c>
      <c r="D23" s="195">
        <v>18</v>
      </c>
      <c r="E23" s="194">
        <f t="shared" si="0"/>
        <v>44211</v>
      </c>
    </row>
    <row r="24" spans="1:7" x14ac:dyDescent="0.25">
      <c r="A24" s="18" t="s">
        <v>44</v>
      </c>
      <c r="B24" s="18" t="s">
        <v>67</v>
      </c>
      <c r="C24" s="194">
        <f t="shared" si="1"/>
        <v>44211</v>
      </c>
      <c r="D24" s="195">
        <v>13</v>
      </c>
      <c r="E24" s="194">
        <f t="shared" si="0"/>
        <v>44229</v>
      </c>
    </row>
    <row r="25" spans="1:7" x14ac:dyDescent="0.25">
      <c r="A25" s="18" t="s">
        <v>45</v>
      </c>
      <c r="B25" s="18" t="s">
        <v>68</v>
      </c>
      <c r="C25" s="194">
        <f t="shared" si="1"/>
        <v>44229</v>
      </c>
      <c r="D25" s="195">
        <v>12</v>
      </c>
      <c r="E25" s="194">
        <f t="shared" si="0"/>
        <v>44244</v>
      </c>
    </row>
    <row r="26" spans="1:7" x14ac:dyDescent="0.25">
      <c r="A26" s="18" t="s">
        <v>46</v>
      </c>
      <c r="B26" s="18" t="s">
        <v>69</v>
      </c>
      <c r="C26" s="194">
        <f t="shared" si="1"/>
        <v>44244</v>
      </c>
      <c r="D26" s="195">
        <v>15</v>
      </c>
      <c r="E26" s="194">
        <f t="shared" si="0"/>
        <v>44264</v>
      </c>
    </row>
    <row r="27" spans="1:7" x14ac:dyDescent="0.25">
      <c r="A27" s="18" t="s">
        <v>47</v>
      </c>
      <c r="B27" s="18" t="s">
        <v>70</v>
      </c>
      <c r="C27" s="194">
        <f t="shared" si="1"/>
        <v>44264</v>
      </c>
      <c r="D27" s="195">
        <v>26</v>
      </c>
      <c r="E27" s="194">
        <f t="shared" si="0"/>
        <v>44299</v>
      </c>
    </row>
    <row r="28" spans="1:7" x14ac:dyDescent="0.25">
      <c r="A28" s="18" t="s">
        <v>48</v>
      </c>
      <c r="B28" s="18" t="s">
        <v>71</v>
      </c>
      <c r="C28" s="194">
        <f t="shared" si="1"/>
        <v>44299</v>
      </c>
      <c r="D28" s="195">
        <v>31</v>
      </c>
      <c r="E28" s="194">
        <f t="shared" si="0"/>
        <v>44341</v>
      </c>
    </row>
    <row r="29" spans="1:7" x14ac:dyDescent="0.25">
      <c r="A29" s="18" t="s">
        <v>50</v>
      </c>
      <c r="B29" s="18" t="s">
        <v>72</v>
      </c>
      <c r="C29" s="194">
        <f t="shared" si="1"/>
        <v>44341</v>
      </c>
      <c r="D29" s="195">
        <v>2</v>
      </c>
      <c r="E29" s="194">
        <f t="shared" si="0"/>
        <v>44342</v>
      </c>
    </row>
    <row r="30" spans="1:7" x14ac:dyDescent="0.25">
      <c r="A30" s="18" t="s">
        <v>54</v>
      </c>
      <c r="B30" s="18" t="s">
        <v>73</v>
      </c>
      <c r="C30" s="194">
        <f t="shared" si="1"/>
        <v>44342</v>
      </c>
      <c r="D30" s="195">
        <v>1</v>
      </c>
      <c r="E30" s="194">
        <f t="shared" si="0"/>
        <v>44342</v>
      </c>
    </row>
    <row r="31" spans="1:7" x14ac:dyDescent="0.25">
      <c r="A31" s="18" t="s">
        <v>51</v>
      </c>
      <c r="B31" s="18" t="s">
        <v>74</v>
      </c>
      <c r="C31" s="194">
        <f t="shared" si="1"/>
        <v>44342</v>
      </c>
      <c r="D31" s="195">
        <v>4</v>
      </c>
      <c r="E31" s="194">
        <f t="shared" si="0"/>
        <v>44347</v>
      </c>
    </row>
    <row r="32" spans="1:7" x14ac:dyDescent="0.25">
      <c r="A32" s="18" t="s">
        <v>52</v>
      </c>
      <c r="B32" s="18" t="s">
        <v>75</v>
      </c>
      <c r="C32" s="194">
        <f t="shared" si="1"/>
        <v>44347</v>
      </c>
      <c r="D32" s="195">
        <v>1</v>
      </c>
      <c r="E32" s="194">
        <f t="shared" si="0"/>
        <v>44347</v>
      </c>
    </row>
    <row r="33" spans="1:5" x14ac:dyDescent="0.25">
      <c r="A33" s="18" t="s">
        <v>53</v>
      </c>
      <c r="B33" s="18" t="s">
        <v>76</v>
      </c>
      <c r="C33" s="194">
        <f t="shared" si="1"/>
        <v>44347</v>
      </c>
      <c r="D33" s="195">
        <v>14</v>
      </c>
      <c r="E33" s="194">
        <f t="shared" si="0"/>
        <v>44364</v>
      </c>
    </row>
    <row r="34" spans="1:5" x14ac:dyDescent="0.25">
      <c r="A34" s="18" t="s">
        <v>78</v>
      </c>
      <c r="B34" s="18" t="s">
        <v>90</v>
      </c>
      <c r="C34" s="194">
        <f t="shared" si="1"/>
        <v>44364</v>
      </c>
      <c r="D34" s="195">
        <v>1</v>
      </c>
      <c r="E34" s="194">
        <f t="shared" si="0"/>
        <v>44364</v>
      </c>
    </row>
    <row r="35" spans="1:5" x14ac:dyDescent="0.25">
      <c r="A35" s="18" t="s">
        <v>79</v>
      </c>
      <c r="B35" s="18" t="s">
        <v>91</v>
      </c>
      <c r="C35" s="194">
        <f t="shared" si="1"/>
        <v>44364</v>
      </c>
      <c r="D35" s="195">
        <v>5</v>
      </c>
      <c r="E35" s="194">
        <f t="shared" si="0"/>
        <v>44370</v>
      </c>
    </row>
    <row r="36" spans="1:5" x14ac:dyDescent="0.25">
      <c r="A36" s="18" t="s">
        <v>80</v>
      </c>
      <c r="B36" s="18" t="s">
        <v>92</v>
      </c>
      <c r="C36" s="194">
        <f t="shared" si="1"/>
        <v>44370</v>
      </c>
      <c r="D36" s="195">
        <v>1</v>
      </c>
      <c r="E36" s="194">
        <f t="shared" si="0"/>
        <v>44370</v>
      </c>
    </row>
    <row r="37" spans="1:5" x14ac:dyDescent="0.25">
      <c r="A37" s="18" t="s">
        <v>81</v>
      </c>
      <c r="B37" s="18" t="s">
        <v>93</v>
      </c>
      <c r="C37" s="194">
        <f t="shared" si="1"/>
        <v>44370</v>
      </c>
      <c r="D37" s="195">
        <v>1</v>
      </c>
      <c r="E37" s="194">
        <f t="shared" si="0"/>
        <v>44370</v>
      </c>
    </row>
    <row r="38" spans="1:5" x14ac:dyDescent="0.25">
      <c r="A38" s="18" t="s">
        <v>82</v>
      </c>
      <c r="B38" s="18" t="s">
        <v>94</v>
      </c>
      <c r="C38" s="194">
        <f t="shared" si="1"/>
        <v>44370</v>
      </c>
      <c r="D38" s="195">
        <v>3</v>
      </c>
      <c r="E38" s="194">
        <f t="shared" si="0"/>
        <v>44372</v>
      </c>
    </row>
    <row r="39" spans="1:5" x14ac:dyDescent="0.25">
      <c r="A39" s="18" t="s">
        <v>83</v>
      </c>
      <c r="B39" s="18" t="s">
        <v>95</v>
      </c>
      <c r="C39" s="194">
        <f t="shared" si="1"/>
        <v>44372</v>
      </c>
      <c r="D39" s="195">
        <v>1</v>
      </c>
      <c r="E39" s="194">
        <f t="shared" si="0"/>
        <v>44372</v>
      </c>
    </row>
    <row r="40" spans="1:5" x14ac:dyDescent="0.25">
      <c r="A40" s="18" t="s">
        <v>84</v>
      </c>
      <c r="B40" s="18" t="s">
        <v>96</v>
      </c>
      <c r="C40" s="194">
        <f t="shared" si="1"/>
        <v>44372</v>
      </c>
      <c r="D40" s="195">
        <v>4</v>
      </c>
      <c r="E40" s="194">
        <f t="shared" si="0"/>
        <v>44377</v>
      </c>
    </row>
    <row r="41" spans="1:5" x14ac:dyDescent="0.25">
      <c r="A41" s="18" t="s">
        <v>85</v>
      </c>
      <c r="B41" s="18" t="s">
        <v>97</v>
      </c>
      <c r="C41" s="194">
        <f t="shared" si="1"/>
        <v>44377</v>
      </c>
      <c r="D41" s="195">
        <v>1</v>
      </c>
      <c r="E41" s="194">
        <f t="shared" si="0"/>
        <v>44377</v>
      </c>
    </row>
    <row r="42" spans="1:5" x14ac:dyDescent="0.25">
      <c r="A42" s="18" t="s">
        <v>86</v>
      </c>
      <c r="B42" s="18" t="s">
        <v>98</v>
      </c>
      <c r="C42" s="194">
        <f t="shared" si="1"/>
        <v>44377</v>
      </c>
      <c r="D42" s="195">
        <v>1</v>
      </c>
      <c r="E42" s="194">
        <f t="shared" si="0"/>
        <v>44377</v>
      </c>
    </row>
    <row r="43" spans="1:5" x14ac:dyDescent="0.25">
      <c r="A43" s="18" t="s">
        <v>87</v>
      </c>
      <c r="B43" s="18" t="s">
        <v>99</v>
      </c>
      <c r="C43" s="194">
        <f t="shared" si="1"/>
        <v>44377</v>
      </c>
      <c r="D43" s="195">
        <v>1</v>
      </c>
      <c r="E43" s="194">
        <f t="shared" si="0"/>
        <v>44377</v>
      </c>
    </row>
    <row r="44" spans="1:5" x14ac:dyDescent="0.25">
      <c r="A44" s="18" t="s">
        <v>88</v>
      </c>
      <c r="B44" s="18" t="s">
        <v>100</v>
      </c>
      <c r="C44" s="194">
        <f t="shared" si="1"/>
        <v>44377</v>
      </c>
      <c r="D44" s="195">
        <v>1</v>
      </c>
      <c r="E44" s="194">
        <f t="shared" si="0"/>
        <v>44377</v>
      </c>
    </row>
    <row r="45" spans="1:5" x14ac:dyDescent="0.25">
      <c r="A45" s="18" t="s">
        <v>89</v>
      </c>
      <c r="B45" s="18" t="s">
        <v>101</v>
      </c>
      <c r="C45" s="194">
        <f t="shared" si="1"/>
        <v>44377</v>
      </c>
      <c r="D45" s="195">
        <v>1</v>
      </c>
      <c r="E45" s="194">
        <f t="shared" si="0"/>
        <v>44377</v>
      </c>
    </row>
    <row r="46" spans="1:5" x14ac:dyDescent="0.25">
      <c r="A46" s="18" t="s">
        <v>103</v>
      </c>
      <c r="B46" s="18" t="s">
        <v>108</v>
      </c>
      <c r="C46" s="194">
        <f t="shared" si="1"/>
        <v>44377</v>
      </c>
      <c r="D46" s="195">
        <v>1</v>
      </c>
      <c r="E46" s="194">
        <f t="shared" si="0"/>
        <v>44377</v>
      </c>
    </row>
    <row r="47" spans="1:5" x14ac:dyDescent="0.25">
      <c r="A47" s="18" t="s">
        <v>104</v>
      </c>
      <c r="B47" s="18" t="s">
        <v>109</v>
      </c>
      <c r="C47" s="194">
        <f t="shared" si="1"/>
        <v>44377</v>
      </c>
      <c r="D47" s="195">
        <v>2</v>
      </c>
      <c r="E47" s="194">
        <f t="shared" si="0"/>
        <v>44378</v>
      </c>
    </row>
    <row r="48" spans="1:5" x14ac:dyDescent="0.25">
      <c r="A48" s="18" t="s">
        <v>105</v>
      </c>
      <c r="B48" s="18" t="s">
        <v>110</v>
      </c>
      <c r="C48" s="194">
        <f t="shared" si="1"/>
        <v>44378</v>
      </c>
      <c r="D48" s="195">
        <v>5</v>
      </c>
      <c r="E48" s="194">
        <f t="shared" si="0"/>
        <v>44384</v>
      </c>
    </row>
    <row r="49" spans="1:5" x14ac:dyDescent="0.25">
      <c r="A49" s="18" t="s">
        <v>106</v>
      </c>
      <c r="B49" s="18" t="s">
        <v>111</v>
      </c>
      <c r="C49" s="194">
        <f t="shared" si="1"/>
        <v>44384</v>
      </c>
      <c r="D49" s="195">
        <v>2</v>
      </c>
      <c r="E49" s="194">
        <f t="shared" si="0"/>
        <v>44385</v>
      </c>
    </row>
    <row r="50" spans="1:5" x14ac:dyDescent="0.25">
      <c r="A50" s="18" t="s">
        <v>107</v>
      </c>
      <c r="B50" s="18" t="s">
        <v>112</v>
      </c>
      <c r="C50" s="194">
        <f t="shared" si="1"/>
        <v>44385</v>
      </c>
      <c r="D50" s="195">
        <v>1</v>
      </c>
      <c r="E50" s="194">
        <f t="shared" si="0"/>
        <v>44385</v>
      </c>
    </row>
    <row r="51" spans="1:5" x14ac:dyDescent="0.25">
      <c r="A51" s="18" t="s">
        <v>115</v>
      </c>
      <c r="B51" s="18" t="s">
        <v>116</v>
      </c>
      <c r="C51" s="194">
        <f t="shared" si="1"/>
        <v>44385</v>
      </c>
      <c r="D51" s="195">
        <v>10</v>
      </c>
      <c r="E51" s="194">
        <f t="shared" si="0"/>
        <v>44398</v>
      </c>
    </row>
    <row r="52" spans="1:5" x14ac:dyDescent="0.25">
      <c r="A52" s="18" t="s">
        <v>114</v>
      </c>
      <c r="B52" s="18" t="s">
        <v>117</v>
      </c>
      <c r="C52" s="194">
        <f t="shared" si="1"/>
        <v>44398</v>
      </c>
      <c r="D52" s="195">
        <v>19</v>
      </c>
      <c r="E52" s="194">
        <f t="shared" si="0"/>
        <v>44424</v>
      </c>
    </row>
    <row r="53" spans="1:5" x14ac:dyDescent="0.25">
      <c r="A53" s="18" t="s">
        <v>118</v>
      </c>
      <c r="B53" s="18" t="s">
        <v>200</v>
      </c>
      <c r="C53" s="194">
        <f t="shared" si="1"/>
        <v>44424</v>
      </c>
      <c r="D53" s="195">
        <v>2</v>
      </c>
      <c r="E53" s="194">
        <f t="shared" si="0"/>
        <v>44425</v>
      </c>
    </row>
    <row r="54" spans="1:5" x14ac:dyDescent="0.25">
      <c r="A54" s="18" t="s">
        <v>119</v>
      </c>
      <c r="B54" s="18" t="s">
        <v>120</v>
      </c>
      <c r="C54" s="194">
        <f t="shared" si="1"/>
        <v>44425</v>
      </c>
      <c r="D54" s="195">
        <v>8</v>
      </c>
      <c r="E54" s="194">
        <f t="shared" si="0"/>
        <v>44434</v>
      </c>
    </row>
  </sheetData>
  <mergeCells count="1">
    <mergeCell ref="F2:G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15</vt:i4>
      </vt:variant>
    </vt:vector>
  </HeadingPairs>
  <TitlesOfParts>
    <vt:vector size="23" baseType="lpstr">
      <vt:lpstr>PRESUPUESTO GENERAL </vt:lpstr>
      <vt:lpstr>COMPUTOS METRICOS</vt:lpstr>
      <vt:lpstr>ANALISIS DE PRECIOS UNITARIOS</vt:lpstr>
      <vt:lpstr>ISUMOS MATERIALES</vt:lpstr>
      <vt:lpstr>lista de proveedores </vt:lpstr>
      <vt:lpstr>INSUMO MANO DE OBRA</vt:lpstr>
      <vt:lpstr>INSUMO EQUIPO Y MAQUINARIA</vt:lpstr>
      <vt:lpstr>CRONOGRAMA</vt:lpstr>
      <vt:lpstr>CargasSociales</vt:lpstr>
      <vt:lpstr>Gastosgenerales</vt:lpstr>
      <vt:lpstr>ImpuestosIT</vt:lpstr>
      <vt:lpstr>Preciounitario</vt:lpstr>
      <vt:lpstr>PreciounitarioOP01</vt:lpstr>
      <vt:lpstr>PrecioUnitarioOP02</vt:lpstr>
      <vt:lpstr>Subtotalmanodeobra</vt:lpstr>
      <vt:lpstr>tem</vt:lpstr>
      <vt:lpstr>'COMPUTOS METRICOS'!Títulos_a_imprimir</vt:lpstr>
      <vt:lpstr>tm</vt:lpstr>
      <vt:lpstr>tmo</vt:lpstr>
      <vt:lpstr>Totalequipomaquinariayherramientas</vt:lpstr>
      <vt:lpstr>Totalmanodeobra</vt:lpstr>
      <vt:lpstr>TotalMateriales</vt:lpstr>
      <vt:lpstr>Utilidad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Jhilmar</cp:lastModifiedBy>
  <cp:lastPrinted>2019-11-22T01:29:34Z</cp:lastPrinted>
  <dcterms:created xsi:type="dcterms:W3CDTF">2019-10-16T23:04:15Z</dcterms:created>
  <dcterms:modified xsi:type="dcterms:W3CDTF">2023-08-04T13:46:17Z</dcterms:modified>
</cp:coreProperties>
</file>